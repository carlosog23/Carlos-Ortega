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arlos Ortega\Desktop\"/>
    </mc:Choice>
  </mc:AlternateContent>
  <xr:revisionPtr revIDLastSave="0" documentId="8_{D260C659-7566-0B48-91DB-E306F63E7053}" xr6:coauthVersionLast="47" xr6:coauthVersionMax="47" xr10:uidLastSave="{00000000-0000-0000-0000-000000000000}"/>
  <bookViews>
    <workbookView xWindow="-90" yWindow="-90" windowWidth="19380" windowHeight="10260" tabRatio="424" xr2:uid="{00000000-000D-0000-FFFF-FFFF00000000}"/>
  </bookViews>
  <sheets>
    <sheet name="1 A" sheetId="8" r:id="rId1"/>
    <sheet name="1 B" sheetId="15" r:id="rId2"/>
    <sheet name="Concen 1ro" sheetId="21" r:id="rId3"/>
    <sheet name="2 A" sheetId="9" r:id="rId4"/>
    <sheet name="2 B" sheetId="16" r:id="rId5"/>
    <sheet name="Concen 2do." sheetId="22" r:id="rId6"/>
    <sheet name="3 A " sheetId="10" r:id="rId7"/>
    <sheet name="3 B" sheetId="17" r:id="rId8"/>
    <sheet name="Concen 3ro." sheetId="23" r:id="rId9"/>
    <sheet name="4 A" sheetId="11" r:id="rId10"/>
    <sheet name="4 B" sheetId="18" r:id="rId11"/>
    <sheet name="Concen 4to." sheetId="24" r:id="rId12"/>
    <sheet name="5 A" sheetId="12" r:id="rId13"/>
    <sheet name="5 B" sheetId="19" r:id="rId14"/>
    <sheet name="Concen 5to." sheetId="25" r:id="rId15"/>
    <sheet name="6 A" sheetId="13" r:id="rId16"/>
    <sheet name="6 B" sheetId="20" r:id="rId17"/>
    <sheet name="Concen 6to" sheetId="26" r:id="rId18"/>
    <sheet name="Concentrado" sheetId="14" r:id="rId19"/>
  </sheets>
  <definedNames>
    <definedName name="_xlnm._FilterDatabase" localSheetId="0" hidden="1">'1 A'!$A$6:$K$49</definedName>
    <definedName name="_xlnm._FilterDatabase" localSheetId="1" hidden="1">'1 B'!$A$6:$K$49</definedName>
    <definedName name="_xlnm._FilterDatabase" localSheetId="3" hidden="1">'2 A'!$A$6:$K$49</definedName>
    <definedName name="_xlnm._FilterDatabase" localSheetId="4" hidden="1">'2 B'!$A$6:$K$49</definedName>
    <definedName name="_xlnm._FilterDatabase" localSheetId="6" hidden="1">'3 A '!$A$6:$K$49</definedName>
    <definedName name="_xlnm._FilterDatabase" localSheetId="7" hidden="1">'3 B'!$A$6:$K$49</definedName>
    <definedName name="_xlnm._FilterDatabase" localSheetId="9" hidden="1">'4 A'!$A$6:$K$49</definedName>
    <definedName name="_xlnm._FilterDatabase" localSheetId="10" hidden="1">'4 B'!$A$6:$K$49</definedName>
    <definedName name="_xlnm._FilterDatabase" localSheetId="12" hidden="1">'5 A'!$A$6:$K$49</definedName>
    <definedName name="_xlnm._FilterDatabase" localSheetId="13" hidden="1">'5 B'!$A$6:$K$49</definedName>
    <definedName name="_xlnm._FilterDatabase" localSheetId="15" hidden="1">'6 A'!$A$6:$K$49</definedName>
    <definedName name="_xlnm._FilterDatabase" localSheetId="16" hidden="1">'6 B'!$A$6:$K$49</definedName>
    <definedName name="_xlnm._FilterDatabase" localSheetId="18" hidden="1">Concentrado!#REF!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20" l="1"/>
  <c r="J41" i="20"/>
  <c r="K41" i="20"/>
  <c r="H41" i="20"/>
  <c r="G41" i="20"/>
  <c r="F41" i="20"/>
  <c r="I40" i="20"/>
  <c r="J40" i="20"/>
  <c r="K40" i="20"/>
  <c r="H40" i="20"/>
  <c r="G40" i="20"/>
  <c r="F40" i="20"/>
  <c r="I39" i="20"/>
  <c r="J39" i="20"/>
  <c r="K39" i="20"/>
  <c r="H39" i="20"/>
  <c r="G39" i="20"/>
  <c r="F39" i="20"/>
  <c r="I38" i="20"/>
  <c r="J38" i="20"/>
  <c r="K38" i="20"/>
  <c r="H38" i="20"/>
  <c r="G38" i="20"/>
  <c r="F38" i="20"/>
  <c r="I37" i="20"/>
  <c r="J37" i="20"/>
  <c r="K37" i="20"/>
  <c r="H37" i="20"/>
  <c r="G37" i="20"/>
  <c r="F37" i="20"/>
  <c r="I36" i="20"/>
  <c r="J36" i="20"/>
  <c r="K36" i="20"/>
  <c r="H36" i="20"/>
  <c r="G36" i="20"/>
  <c r="F36" i="20"/>
  <c r="I41" i="13"/>
  <c r="J41" i="13"/>
  <c r="K41" i="13"/>
  <c r="H41" i="13"/>
  <c r="G41" i="13"/>
  <c r="F41" i="13"/>
  <c r="I40" i="13"/>
  <c r="J40" i="13"/>
  <c r="K40" i="13"/>
  <c r="H40" i="13"/>
  <c r="G40" i="13"/>
  <c r="F40" i="13"/>
  <c r="I39" i="13"/>
  <c r="J39" i="13"/>
  <c r="K39" i="13"/>
  <c r="H39" i="13"/>
  <c r="G39" i="13"/>
  <c r="F39" i="13"/>
  <c r="I38" i="13"/>
  <c r="J38" i="13"/>
  <c r="K38" i="13"/>
  <c r="H38" i="13"/>
  <c r="G38" i="13"/>
  <c r="F38" i="13"/>
  <c r="I37" i="13"/>
  <c r="J37" i="13"/>
  <c r="K37" i="13"/>
  <c r="H37" i="13"/>
  <c r="G37" i="13"/>
  <c r="F37" i="13"/>
  <c r="I36" i="13"/>
  <c r="J36" i="13"/>
  <c r="K36" i="13"/>
  <c r="H36" i="13"/>
  <c r="G36" i="13"/>
  <c r="F36" i="13"/>
  <c r="I35" i="13"/>
  <c r="J35" i="13"/>
  <c r="K35" i="13"/>
  <c r="H35" i="13"/>
  <c r="G35" i="13"/>
  <c r="F35" i="13"/>
  <c r="I34" i="13"/>
  <c r="H34" i="13"/>
  <c r="G34" i="13"/>
  <c r="F34" i="13"/>
  <c r="I41" i="19"/>
  <c r="J41" i="19"/>
  <c r="K41" i="19"/>
  <c r="H41" i="19"/>
  <c r="G41" i="19"/>
  <c r="F41" i="19"/>
  <c r="I40" i="19"/>
  <c r="J40" i="19"/>
  <c r="K40" i="19"/>
  <c r="H40" i="19"/>
  <c r="G40" i="19"/>
  <c r="F40" i="19"/>
  <c r="I39" i="19"/>
  <c r="J39" i="19"/>
  <c r="K39" i="19"/>
  <c r="H39" i="19"/>
  <c r="G39" i="19"/>
  <c r="F39" i="19"/>
  <c r="I38" i="19"/>
  <c r="J38" i="19"/>
  <c r="K38" i="19"/>
  <c r="H38" i="19"/>
  <c r="G38" i="19"/>
  <c r="F38" i="19"/>
  <c r="I37" i="19"/>
  <c r="J37" i="19"/>
  <c r="K37" i="19"/>
  <c r="H37" i="19"/>
  <c r="G37" i="19"/>
  <c r="F37" i="19"/>
  <c r="I36" i="19"/>
  <c r="J36" i="19"/>
  <c r="K36" i="19"/>
  <c r="H36" i="19"/>
  <c r="G36" i="19"/>
  <c r="F36" i="19"/>
  <c r="I41" i="12"/>
  <c r="J41" i="12"/>
  <c r="K41" i="12"/>
  <c r="H41" i="12"/>
  <c r="G41" i="12"/>
  <c r="F41" i="12"/>
  <c r="I40" i="12"/>
  <c r="J40" i="12"/>
  <c r="K40" i="12"/>
  <c r="H40" i="12"/>
  <c r="G40" i="12"/>
  <c r="F40" i="12"/>
  <c r="I39" i="12"/>
  <c r="J39" i="12"/>
  <c r="K39" i="12"/>
  <c r="H39" i="12"/>
  <c r="G39" i="12"/>
  <c r="F39" i="12"/>
  <c r="I38" i="12"/>
  <c r="J38" i="12"/>
  <c r="K38" i="12"/>
  <c r="H38" i="12"/>
  <c r="G38" i="12"/>
  <c r="F38" i="12"/>
  <c r="I37" i="12"/>
  <c r="J37" i="12"/>
  <c r="K37" i="12"/>
  <c r="H37" i="12"/>
  <c r="G37" i="12"/>
  <c r="F37" i="12"/>
  <c r="I36" i="12"/>
  <c r="J36" i="12"/>
  <c r="K36" i="12"/>
  <c r="H36" i="12"/>
  <c r="G36" i="12"/>
  <c r="F36" i="12"/>
  <c r="I35" i="12"/>
  <c r="J35" i="12"/>
  <c r="K35" i="12"/>
  <c r="H35" i="12"/>
  <c r="G35" i="12"/>
  <c r="F35" i="12"/>
  <c r="I41" i="18"/>
  <c r="J41" i="18"/>
  <c r="K41" i="18"/>
  <c r="H41" i="18"/>
  <c r="G41" i="18"/>
  <c r="F41" i="18"/>
  <c r="I40" i="18"/>
  <c r="J40" i="18"/>
  <c r="K40" i="18"/>
  <c r="H40" i="18"/>
  <c r="G40" i="18"/>
  <c r="F40" i="18"/>
  <c r="I39" i="18"/>
  <c r="J39" i="18"/>
  <c r="K39" i="18"/>
  <c r="H39" i="18"/>
  <c r="G39" i="18"/>
  <c r="F39" i="18"/>
  <c r="I38" i="18"/>
  <c r="J38" i="18"/>
  <c r="K38" i="18"/>
  <c r="H38" i="18"/>
  <c r="G38" i="18"/>
  <c r="F38" i="18"/>
  <c r="I37" i="18"/>
  <c r="J37" i="18"/>
  <c r="K37" i="18"/>
  <c r="H37" i="18"/>
  <c r="G37" i="18"/>
  <c r="F37" i="18"/>
  <c r="I36" i="18"/>
  <c r="J36" i="18"/>
  <c r="K36" i="18"/>
  <c r="H36" i="18"/>
  <c r="G36" i="18"/>
  <c r="F36" i="18"/>
  <c r="I41" i="11"/>
  <c r="J41" i="11"/>
  <c r="K41" i="11"/>
  <c r="H41" i="11"/>
  <c r="G41" i="11"/>
  <c r="F41" i="11"/>
  <c r="I40" i="11"/>
  <c r="J40" i="11"/>
  <c r="K40" i="11"/>
  <c r="H40" i="11"/>
  <c r="G40" i="11"/>
  <c r="F40" i="11"/>
  <c r="I39" i="11"/>
  <c r="J39" i="11"/>
  <c r="K39" i="11"/>
  <c r="H39" i="11"/>
  <c r="G39" i="11"/>
  <c r="F39" i="11"/>
  <c r="I38" i="11"/>
  <c r="J38" i="11"/>
  <c r="K38" i="11"/>
  <c r="H38" i="11"/>
  <c r="G38" i="11"/>
  <c r="F38" i="11"/>
  <c r="I37" i="11"/>
  <c r="J37" i="11"/>
  <c r="K37" i="11"/>
  <c r="H37" i="11"/>
  <c r="G37" i="11"/>
  <c r="F37" i="11"/>
  <c r="I36" i="11"/>
  <c r="J36" i="11"/>
  <c r="K36" i="11"/>
  <c r="H36" i="11"/>
  <c r="G36" i="11"/>
  <c r="F36" i="11"/>
  <c r="I41" i="17"/>
  <c r="J41" i="17"/>
  <c r="K41" i="17"/>
  <c r="H41" i="17"/>
  <c r="G41" i="17"/>
  <c r="F41" i="17"/>
  <c r="I40" i="17"/>
  <c r="J40" i="17"/>
  <c r="K40" i="17"/>
  <c r="H40" i="17"/>
  <c r="G40" i="17"/>
  <c r="F40" i="17"/>
  <c r="I39" i="17"/>
  <c r="J39" i="17"/>
  <c r="K39" i="17"/>
  <c r="H39" i="17"/>
  <c r="G39" i="17"/>
  <c r="F39" i="17"/>
  <c r="I38" i="17"/>
  <c r="J38" i="17"/>
  <c r="K38" i="17"/>
  <c r="H38" i="17"/>
  <c r="G38" i="17"/>
  <c r="F38" i="17"/>
  <c r="I37" i="17"/>
  <c r="J37" i="17"/>
  <c r="K37" i="17"/>
  <c r="H37" i="17"/>
  <c r="G37" i="17"/>
  <c r="F37" i="17"/>
  <c r="I36" i="17"/>
  <c r="J36" i="17"/>
  <c r="K36" i="17"/>
  <c r="H36" i="17"/>
  <c r="G36" i="17"/>
  <c r="F36" i="17"/>
  <c r="I41" i="10"/>
  <c r="J41" i="10"/>
  <c r="K41" i="10"/>
  <c r="H41" i="10"/>
  <c r="G41" i="10"/>
  <c r="F41" i="10"/>
  <c r="I40" i="10"/>
  <c r="J40" i="10"/>
  <c r="K40" i="10"/>
  <c r="H40" i="10"/>
  <c r="G40" i="10"/>
  <c r="F40" i="10"/>
  <c r="I39" i="10"/>
  <c r="J39" i="10"/>
  <c r="K39" i="10"/>
  <c r="H39" i="10"/>
  <c r="G39" i="10"/>
  <c r="F39" i="10"/>
  <c r="I38" i="10"/>
  <c r="J38" i="10"/>
  <c r="K38" i="10"/>
  <c r="H38" i="10"/>
  <c r="G38" i="10"/>
  <c r="F38" i="10"/>
  <c r="I37" i="10"/>
  <c r="J37" i="10"/>
  <c r="K37" i="10"/>
  <c r="H37" i="10"/>
  <c r="G37" i="10"/>
  <c r="F37" i="10"/>
  <c r="I36" i="10"/>
  <c r="J36" i="10"/>
  <c r="K36" i="10"/>
  <c r="H36" i="10"/>
  <c r="G36" i="10"/>
  <c r="F36" i="10"/>
  <c r="I41" i="16"/>
  <c r="J41" i="16"/>
  <c r="K41" i="16"/>
  <c r="H41" i="16"/>
  <c r="G41" i="16"/>
  <c r="F41" i="16"/>
  <c r="I40" i="16"/>
  <c r="J40" i="16"/>
  <c r="K40" i="16"/>
  <c r="H40" i="16"/>
  <c r="G40" i="16"/>
  <c r="F40" i="16"/>
  <c r="I39" i="16"/>
  <c r="J39" i="16"/>
  <c r="K39" i="16"/>
  <c r="H39" i="16"/>
  <c r="G39" i="16"/>
  <c r="F39" i="16"/>
  <c r="I38" i="16"/>
  <c r="J38" i="16"/>
  <c r="K38" i="16"/>
  <c r="H38" i="16"/>
  <c r="G38" i="16"/>
  <c r="F38" i="16"/>
  <c r="I37" i="16"/>
  <c r="J37" i="16"/>
  <c r="K37" i="16"/>
  <c r="H37" i="16"/>
  <c r="G37" i="16"/>
  <c r="F37" i="16"/>
  <c r="I36" i="16"/>
  <c r="J36" i="16"/>
  <c r="K36" i="16"/>
  <c r="H36" i="16"/>
  <c r="G36" i="16"/>
  <c r="F36" i="16"/>
  <c r="I35" i="16"/>
  <c r="J35" i="16"/>
  <c r="K35" i="16"/>
  <c r="H35" i="16"/>
  <c r="G35" i="16"/>
  <c r="F35" i="16"/>
  <c r="I34" i="16"/>
  <c r="H34" i="16"/>
  <c r="G34" i="16"/>
  <c r="F34" i="16"/>
  <c r="I33" i="16"/>
  <c r="H33" i="16"/>
  <c r="G33" i="16"/>
  <c r="F33" i="16"/>
  <c r="I41" i="9"/>
  <c r="J41" i="9"/>
  <c r="K41" i="9"/>
  <c r="H41" i="9"/>
  <c r="G41" i="9"/>
  <c r="F41" i="9"/>
  <c r="I40" i="9"/>
  <c r="J40" i="9"/>
  <c r="K40" i="9"/>
  <c r="H40" i="9"/>
  <c r="G40" i="9"/>
  <c r="F40" i="9"/>
  <c r="I39" i="9"/>
  <c r="J39" i="9"/>
  <c r="K39" i="9"/>
  <c r="H39" i="9"/>
  <c r="G39" i="9"/>
  <c r="F39" i="9"/>
  <c r="I38" i="9"/>
  <c r="J38" i="9"/>
  <c r="K38" i="9"/>
  <c r="H38" i="9"/>
  <c r="G38" i="9"/>
  <c r="F38" i="9"/>
  <c r="I37" i="9"/>
  <c r="J37" i="9"/>
  <c r="K37" i="9"/>
  <c r="H37" i="9"/>
  <c r="G37" i="9"/>
  <c r="F37" i="9"/>
  <c r="I36" i="9"/>
  <c r="J36" i="9"/>
  <c r="K36" i="9"/>
  <c r="H36" i="9"/>
  <c r="G36" i="9"/>
  <c r="F36" i="9"/>
  <c r="I35" i="9"/>
  <c r="H35" i="9"/>
  <c r="G35" i="9"/>
  <c r="F35" i="9"/>
  <c r="I34" i="9"/>
  <c r="H34" i="9"/>
  <c r="G34" i="9"/>
  <c r="F34" i="9"/>
  <c r="I33" i="9"/>
  <c r="J33" i="9"/>
  <c r="K33" i="9"/>
  <c r="H33" i="9"/>
  <c r="G33" i="9"/>
  <c r="F33" i="9"/>
  <c r="I41" i="15"/>
  <c r="J41" i="15"/>
  <c r="K41" i="15"/>
  <c r="H41" i="15"/>
  <c r="G41" i="15"/>
  <c r="F41" i="15"/>
  <c r="I40" i="15"/>
  <c r="J40" i="15"/>
  <c r="K40" i="15"/>
  <c r="H40" i="15"/>
  <c r="G40" i="15"/>
  <c r="F40" i="15"/>
  <c r="I39" i="15"/>
  <c r="J39" i="15"/>
  <c r="K39" i="15"/>
  <c r="H39" i="15"/>
  <c r="G39" i="15"/>
  <c r="F39" i="15"/>
  <c r="I38" i="15"/>
  <c r="J38" i="15"/>
  <c r="K38" i="15"/>
  <c r="H38" i="15"/>
  <c r="G38" i="15"/>
  <c r="F38" i="15"/>
  <c r="I37" i="15"/>
  <c r="J37" i="15"/>
  <c r="K37" i="15"/>
  <c r="H37" i="15"/>
  <c r="G37" i="15"/>
  <c r="F37" i="15"/>
  <c r="I36" i="15"/>
  <c r="J36" i="15"/>
  <c r="K36" i="15"/>
  <c r="H36" i="15"/>
  <c r="G36" i="15"/>
  <c r="F36" i="15"/>
  <c r="I35" i="15"/>
  <c r="H35" i="15"/>
  <c r="G35" i="15"/>
  <c r="F35" i="15"/>
  <c r="F7" i="15"/>
  <c r="G7" i="15"/>
  <c r="H7" i="15"/>
  <c r="I41" i="8"/>
  <c r="J41" i="8"/>
  <c r="K41" i="8"/>
  <c r="H41" i="8"/>
  <c r="G41" i="8"/>
  <c r="F41" i="8"/>
  <c r="I40" i="8"/>
  <c r="J40" i="8"/>
  <c r="K40" i="8"/>
  <c r="H40" i="8"/>
  <c r="G40" i="8"/>
  <c r="F40" i="8"/>
  <c r="I39" i="8"/>
  <c r="J39" i="8"/>
  <c r="K39" i="8"/>
  <c r="H39" i="8"/>
  <c r="G39" i="8"/>
  <c r="F39" i="8"/>
  <c r="I38" i="8"/>
  <c r="J38" i="8"/>
  <c r="K38" i="8"/>
  <c r="H38" i="8"/>
  <c r="G38" i="8"/>
  <c r="F38" i="8"/>
  <c r="I37" i="8"/>
  <c r="J37" i="8"/>
  <c r="K37" i="8"/>
  <c r="H37" i="8"/>
  <c r="G37" i="8"/>
  <c r="F37" i="8"/>
  <c r="I36" i="8"/>
  <c r="J36" i="8"/>
  <c r="K36" i="8"/>
  <c r="H36" i="8"/>
  <c r="G36" i="8"/>
  <c r="F36" i="8"/>
  <c r="I34" i="15"/>
  <c r="H34" i="15"/>
  <c r="G34" i="15"/>
  <c r="F34" i="15"/>
  <c r="I33" i="15"/>
  <c r="H33" i="15"/>
  <c r="G33" i="15"/>
  <c r="F33" i="15"/>
  <c r="I32" i="15"/>
  <c r="H32" i="15"/>
  <c r="G32" i="15"/>
  <c r="F32" i="15"/>
  <c r="I31" i="15"/>
  <c r="H31" i="15"/>
  <c r="G31" i="15"/>
  <c r="F31" i="15"/>
  <c r="I35" i="8"/>
  <c r="H35" i="8"/>
  <c r="G35" i="8"/>
  <c r="F35" i="8"/>
  <c r="J34" i="13"/>
  <c r="K34" i="13"/>
  <c r="J34" i="16"/>
  <c r="K34" i="16"/>
  <c r="J33" i="16"/>
  <c r="K33" i="16"/>
  <c r="J34" i="9"/>
  <c r="K34" i="9"/>
  <c r="J35" i="9"/>
  <c r="K35" i="9"/>
  <c r="J35" i="15"/>
  <c r="K35" i="15"/>
  <c r="J34" i="15"/>
  <c r="K34" i="15"/>
  <c r="J33" i="15"/>
  <c r="K33" i="15"/>
  <c r="J32" i="15"/>
  <c r="K32" i="15"/>
  <c r="J31" i="15"/>
  <c r="K31" i="15"/>
  <c r="J35" i="8"/>
  <c r="K35" i="8"/>
  <c r="G46" i="20"/>
  <c r="F46" i="20"/>
  <c r="G45" i="20"/>
  <c r="F45" i="20"/>
  <c r="G44" i="20"/>
  <c r="F44" i="20"/>
  <c r="G43" i="20"/>
  <c r="F43" i="20"/>
  <c r="G42" i="20"/>
  <c r="F42" i="20"/>
  <c r="I35" i="20"/>
  <c r="H35" i="20"/>
  <c r="G35" i="20"/>
  <c r="F35" i="20"/>
  <c r="I34" i="20"/>
  <c r="H34" i="20"/>
  <c r="G34" i="20"/>
  <c r="F34" i="20"/>
  <c r="I33" i="20"/>
  <c r="H33" i="20"/>
  <c r="G33" i="20"/>
  <c r="F33" i="20"/>
  <c r="I32" i="20"/>
  <c r="H32" i="20"/>
  <c r="G32" i="20"/>
  <c r="F32" i="20"/>
  <c r="I31" i="20"/>
  <c r="H31" i="20"/>
  <c r="G31" i="20"/>
  <c r="F31" i="20"/>
  <c r="I30" i="20"/>
  <c r="H30" i="20"/>
  <c r="G30" i="20"/>
  <c r="F30" i="20"/>
  <c r="I29" i="20"/>
  <c r="H29" i="20"/>
  <c r="G29" i="20"/>
  <c r="F29" i="20"/>
  <c r="I28" i="20"/>
  <c r="H28" i="20"/>
  <c r="G28" i="20"/>
  <c r="F28" i="20"/>
  <c r="I27" i="20"/>
  <c r="H27" i="20"/>
  <c r="G27" i="20"/>
  <c r="F27" i="20"/>
  <c r="I26" i="20"/>
  <c r="H26" i="20"/>
  <c r="G26" i="20"/>
  <c r="F26" i="20"/>
  <c r="I25" i="20"/>
  <c r="H25" i="20"/>
  <c r="G25" i="20"/>
  <c r="F25" i="20"/>
  <c r="I24" i="20"/>
  <c r="H24" i="20"/>
  <c r="G24" i="20"/>
  <c r="F24" i="20"/>
  <c r="I23" i="20"/>
  <c r="H23" i="20"/>
  <c r="G23" i="20"/>
  <c r="F23" i="20"/>
  <c r="I22" i="20"/>
  <c r="H22" i="20"/>
  <c r="G22" i="20"/>
  <c r="F22" i="20"/>
  <c r="I21" i="20"/>
  <c r="H21" i="20"/>
  <c r="G21" i="20"/>
  <c r="F21" i="20"/>
  <c r="I20" i="20"/>
  <c r="H20" i="20"/>
  <c r="G20" i="20"/>
  <c r="F20" i="20"/>
  <c r="I19" i="20"/>
  <c r="H19" i="20"/>
  <c r="G19" i="20"/>
  <c r="F19" i="20"/>
  <c r="I18" i="20"/>
  <c r="H18" i="20"/>
  <c r="G18" i="20"/>
  <c r="F18" i="20"/>
  <c r="I17" i="20"/>
  <c r="H17" i="20"/>
  <c r="G17" i="20"/>
  <c r="F17" i="20"/>
  <c r="I16" i="20"/>
  <c r="H16" i="20"/>
  <c r="G16" i="20"/>
  <c r="F16" i="20"/>
  <c r="I15" i="20"/>
  <c r="H15" i="20"/>
  <c r="G15" i="20"/>
  <c r="F15" i="20"/>
  <c r="I14" i="20"/>
  <c r="H14" i="20"/>
  <c r="G14" i="20"/>
  <c r="F14" i="20"/>
  <c r="I13" i="20"/>
  <c r="H13" i="20"/>
  <c r="G13" i="20"/>
  <c r="F13" i="20"/>
  <c r="I12" i="20"/>
  <c r="H12" i="20"/>
  <c r="G12" i="20"/>
  <c r="F12" i="20"/>
  <c r="I11" i="20"/>
  <c r="H11" i="20"/>
  <c r="G11" i="20"/>
  <c r="F11" i="20"/>
  <c r="I10" i="20"/>
  <c r="H10" i="20"/>
  <c r="G10" i="20"/>
  <c r="F10" i="20"/>
  <c r="I9" i="20"/>
  <c r="H9" i="20"/>
  <c r="G9" i="20"/>
  <c r="F9" i="20"/>
  <c r="I8" i="20"/>
  <c r="H8" i="20"/>
  <c r="G8" i="20"/>
  <c r="F8" i="20"/>
  <c r="I7" i="20"/>
  <c r="H7" i="20"/>
  <c r="G7" i="20"/>
  <c r="F7" i="20"/>
  <c r="G46" i="19"/>
  <c r="F46" i="19"/>
  <c r="G45" i="19"/>
  <c r="F45" i="19"/>
  <c r="G44" i="19"/>
  <c r="F44" i="19"/>
  <c r="G43" i="19"/>
  <c r="F43" i="19"/>
  <c r="G42" i="19"/>
  <c r="F42" i="19"/>
  <c r="I35" i="19"/>
  <c r="H35" i="19"/>
  <c r="G35" i="19"/>
  <c r="F35" i="19"/>
  <c r="I34" i="19"/>
  <c r="H34" i="19"/>
  <c r="G34" i="19"/>
  <c r="F34" i="19"/>
  <c r="I33" i="19"/>
  <c r="H33" i="19"/>
  <c r="G33" i="19"/>
  <c r="F33" i="19"/>
  <c r="I32" i="19"/>
  <c r="H32" i="19"/>
  <c r="G32" i="19"/>
  <c r="F32" i="19"/>
  <c r="I31" i="19"/>
  <c r="H31" i="19"/>
  <c r="G31" i="19"/>
  <c r="F31" i="19"/>
  <c r="I30" i="19"/>
  <c r="H30" i="19"/>
  <c r="G30" i="19"/>
  <c r="F30" i="19"/>
  <c r="I29" i="19"/>
  <c r="H29" i="19"/>
  <c r="G29" i="19"/>
  <c r="F29" i="19"/>
  <c r="I28" i="19"/>
  <c r="H28" i="19"/>
  <c r="G28" i="19"/>
  <c r="F28" i="19"/>
  <c r="I27" i="19"/>
  <c r="H27" i="19"/>
  <c r="G27" i="19"/>
  <c r="F27" i="19"/>
  <c r="I26" i="19"/>
  <c r="H26" i="19"/>
  <c r="G26" i="19"/>
  <c r="F26" i="19"/>
  <c r="I25" i="19"/>
  <c r="H25" i="19"/>
  <c r="G25" i="19"/>
  <c r="F25" i="19"/>
  <c r="I24" i="19"/>
  <c r="H24" i="19"/>
  <c r="G24" i="19"/>
  <c r="F24" i="19"/>
  <c r="I23" i="19"/>
  <c r="H23" i="19"/>
  <c r="G23" i="19"/>
  <c r="F23" i="19"/>
  <c r="I22" i="19"/>
  <c r="H22" i="19"/>
  <c r="G22" i="19"/>
  <c r="F22" i="19"/>
  <c r="I21" i="19"/>
  <c r="H21" i="19"/>
  <c r="G21" i="19"/>
  <c r="F21" i="19"/>
  <c r="I20" i="19"/>
  <c r="H20" i="19"/>
  <c r="G20" i="19"/>
  <c r="F20" i="19"/>
  <c r="I19" i="19"/>
  <c r="H19" i="19"/>
  <c r="G19" i="19"/>
  <c r="F19" i="19"/>
  <c r="I18" i="19"/>
  <c r="H18" i="19"/>
  <c r="G18" i="19"/>
  <c r="F18" i="19"/>
  <c r="I17" i="19"/>
  <c r="H17" i="19"/>
  <c r="G17" i="19"/>
  <c r="F17" i="19"/>
  <c r="I16" i="19"/>
  <c r="H16" i="19"/>
  <c r="G16" i="19"/>
  <c r="F16" i="19"/>
  <c r="I15" i="19"/>
  <c r="H15" i="19"/>
  <c r="G15" i="19"/>
  <c r="F15" i="19"/>
  <c r="I14" i="19"/>
  <c r="H14" i="19"/>
  <c r="G14" i="19"/>
  <c r="F14" i="19"/>
  <c r="I13" i="19"/>
  <c r="H13" i="19"/>
  <c r="G13" i="19"/>
  <c r="F13" i="19"/>
  <c r="I12" i="19"/>
  <c r="H12" i="19"/>
  <c r="G12" i="19"/>
  <c r="F12" i="19"/>
  <c r="I11" i="19"/>
  <c r="H11" i="19"/>
  <c r="G11" i="19"/>
  <c r="F11" i="19"/>
  <c r="I10" i="19"/>
  <c r="H10" i="19"/>
  <c r="G10" i="19"/>
  <c r="F10" i="19"/>
  <c r="I9" i="19"/>
  <c r="H9" i="19"/>
  <c r="G9" i="19"/>
  <c r="F9" i="19"/>
  <c r="I8" i="19"/>
  <c r="H8" i="19"/>
  <c r="G8" i="19"/>
  <c r="F8" i="19"/>
  <c r="I7" i="19"/>
  <c r="H7" i="19"/>
  <c r="G7" i="19"/>
  <c r="F7" i="19"/>
  <c r="G46" i="18"/>
  <c r="F46" i="18"/>
  <c r="G45" i="18"/>
  <c r="F45" i="18"/>
  <c r="G44" i="18"/>
  <c r="F44" i="18"/>
  <c r="G43" i="18"/>
  <c r="F43" i="18"/>
  <c r="G42" i="18"/>
  <c r="F42" i="18"/>
  <c r="I35" i="18"/>
  <c r="H35" i="18"/>
  <c r="G35" i="18"/>
  <c r="F35" i="18"/>
  <c r="I34" i="18"/>
  <c r="H34" i="18"/>
  <c r="G34" i="18"/>
  <c r="F34" i="18"/>
  <c r="I33" i="18"/>
  <c r="H33" i="18"/>
  <c r="G33" i="18"/>
  <c r="F33" i="18"/>
  <c r="I32" i="18"/>
  <c r="H32" i="18"/>
  <c r="G32" i="18"/>
  <c r="F32" i="18"/>
  <c r="I31" i="18"/>
  <c r="H31" i="18"/>
  <c r="G31" i="18"/>
  <c r="F31" i="18"/>
  <c r="I30" i="18"/>
  <c r="H30" i="18"/>
  <c r="G30" i="18"/>
  <c r="F30" i="18"/>
  <c r="I29" i="18"/>
  <c r="H29" i="18"/>
  <c r="G29" i="18"/>
  <c r="F29" i="18"/>
  <c r="I28" i="18"/>
  <c r="H28" i="18"/>
  <c r="G28" i="18"/>
  <c r="F28" i="18"/>
  <c r="I27" i="18"/>
  <c r="H27" i="18"/>
  <c r="G27" i="18"/>
  <c r="F27" i="18"/>
  <c r="I26" i="18"/>
  <c r="H26" i="18"/>
  <c r="G26" i="18"/>
  <c r="F26" i="18"/>
  <c r="I25" i="18"/>
  <c r="H25" i="18"/>
  <c r="G25" i="18"/>
  <c r="F25" i="18"/>
  <c r="I24" i="18"/>
  <c r="H24" i="18"/>
  <c r="G24" i="18"/>
  <c r="F24" i="18"/>
  <c r="I23" i="18"/>
  <c r="H23" i="18"/>
  <c r="G23" i="18"/>
  <c r="F23" i="18"/>
  <c r="I22" i="18"/>
  <c r="H22" i="18"/>
  <c r="G22" i="18"/>
  <c r="F22" i="18"/>
  <c r="I21" i="18"/>
  <c r="H21" i="18"/>
  <c r="G21" i="18"/>
  <c r="F21" i="18"/>
  <c r="I20" i="18"/>
  <c r="H20" i="18"/>
  <c r="G20" i="18"/>
  <c r="F20" i="18"/>
  <c r="I19" i="18"/>
  <c r="H19" i="18"/>
  <c r="G19" i="18"/>
  <c r="F19" i="18"/>
  <c r="I18" i="18"/>
  <c r="H18" i="18"/>
  <c r="G18" i="18"/>
  <c r="F18" i="18"/>
  <c r="I17" i="18"/>
  <c r="H17" i="18"/>
  <c r="G17" i="18"/>
  <c r="F17" i="18"/>
  <c r="I16" i="18"/>
  <c r="H16" i="18"/>
  <c r="G16" i="18"/>
  <c r="F16" i="18"/>
  <c r="I15" i="18"/>
  <c r="H15" i="18"/>
  <c r="G15" i="18"/>
  <c r="F15" i="18"/>
  <c r="I14" i="18"/>
  <c r="H14" i="18"/>
  <c r="G14" i="18"/>
  <c r="F14" i="18"/>
  <c r="I13" i="18"/>
  <c r="H13" i="18"/>
  <c r="G13" i="18"/>
  <c r="F13" i="18"/>
  <c r="I12" i="18"/>
  <c r="H12" i="18"/>
  <c r="G12" i="18"/>
  <c r="F12" i="18"/>
  <c r="I11" i="18"/>
  <c r="H11" i="18"/>
  <c r="G11" i="18"/>
  <c r="F11" i="18"/>
  <c r="I10" i="18"/>
  <c r="H10" i="18"/>
  <c r="G10" i="18"/>
  <c r="F10" i="18"/>
  <c r="I9" i="18"/>
  <c r="H9" i="18"/>
  <c r="G9" i="18"/>
  <c r="F9" i="18"/>
  <c r="I8" i="18"/>
  <c r="H8" i="18"/>
  <c r="G8" i="18"/>
  <c r="F8" i="18"/>
  <c r="I7" i="18"/>
  <c r="H7" i="18"/>
  <c r="G7" i="18"/>
  <c r="F7" i="18"/>
  <c r="G46" i="17"/>
  <c r="F46" i="17"/>
  <c r="G45" i="17"/>
  <c r="F45" i="17"/>
  <c r="G44" i="17"/>
  <c r="F44" i="17"/>
  <c r="G43" i="17"/>
  <c r="F43" i="17"/>
  <c r="G42" i="17"/>
  <c r="F42" i="17"/>
  <c r="I35" i="17"/>
  <c r="H35" i="17"/>
  <c r="G35" i="17"/>
  <c r="F35" i="17"/>
  <c r="I34" i="17"/>
  <c r="H34" i="17"/>
  <c r="G34" i="17"/>
  <c r="F34" i="17"/>
  <c r="I33" i="17"/>
  <c r="H33" i="17"/>
  <c r="G33" i="17"/>
  <c r="F33" i="17"/>
  <c r="I32" i="17"/>
  <c r="H32" i="17"/>
  <c r="G32" i="17"/>
  <c r="F32" i="17"/>
  <c r="I31" i="17"/>
  <c r="H31" i="17"/>
  <c r="G31" i="17"/>
  <c r="F31" i="17"/>
  <c r="I30" i="17"/>
  <c r="H30" i="17"/>
  <c r="G30" i="17"/>
  <c r="F30" i="17"/>
  <c r="I29" i="17"/>
  <c r="H29" i="17"/>
  <c r="G29" i="17"/>
  <c r="F29" i="17"/>
  <c r="I28" i="17"/>
  <c r="H28" i="17"/>
  <c r="G28" i="17"/>
  <c r="F28" i="17"/>
  <c r="I27" i="17"/>
  <c r="H27" i="17"/>
  <c r="G27" i="17"/>
  <c r="F27" i="17"/>
  <c r="I26" i="17"/>
  <c r="H26" i="17"/>
  <c r="G26" i="17"/>
  <c r="F26" i="17"/>
  <c r="I25" i="17"/>
  <c r="H25" i="17"/>
  <c r="G25" i="17"/>
  <c r="F25" i="17"/>
  <c r="I24" i="17"/>
  <c r="H24" i="17"/>
  <c r="G24" i="17"/>
  <c r="F24" i="17"/>
  <c r="I23" i="17"/>
  <c r="H23" i="17"/>
  <c r="G23" i="17"/>
  <c r="F23" i="17"/>
  <c r="I22" i="17"/>
  <c r="H22" i="17"/>
  <c r="G22" i="17"/>
  <c r="F22" i="17"/>
  <c r="I21" i="17"/>
  <c r="H21" i="17"/>
  <c r="G21" i="17"/>
  <c r="F21" i="17"/>
  <c r="I20" i="17"/>
  <c r="H20" i="17"/>
  <c r="G20" i="17"/>
  <c r="F20" i="17"/>
  <c r="I19" i="17"/>
  <c r="H19" i="17"/>
  <c r="G19" i="17"/>
  <c r="F19" i="17"/>
  <c r="I18" i="17"/>
  <c r="H18" i="17"/>
  <c r="G18" i="17"/>
  <c r="F18" i="17"/>
  <c r="I17" i="17"/>
  <c r="H17" i="17"/>
  <c r="G17" i="17"/>
  <c r="F17" i="17"/>
  <c r="I16" i="17"/>
  <c r="H16" i="17"/>
  <c r="G16" i="17"/>
  <c r="F16" i="17"/>
  <c r="I15" i="17"/>
  <c r="H15" i="17"/>
  <c r="G15" i="17"/>
  <c r="F15" i="17"/>
  <c r="I14" i="17"/>
  <c r="H14" i="17"/>
  <c r="G14" i="17"/>
  <c r="F14" i="17"/>
  <c r="I13" i="17"/>
  <c r="H13" i="17"/>
  <c r="G13" i="17"/>
  <c r="F13" i="17"/>
  <c r="I12" i="17"/>
  <c r="H12" i="17"/>
  <c r="G12" i="17"/>
  <c r="F12" i="17"/>
  <c r="I11" i="17"/>
  <c r="H11" i="17"/>
  <c r="G11" i="17"/>
  <c r="F11" i="17"/>
  <c r="I10" i="17"/>
  <c r="H10" i="17"/>
  <c r="G10" i="17"/>
  <c r="F10" i="17"/>
  <c r="I9" i="17"/>
  <c r="H9" i="17"/>
  <c r="G9" i="17"/>
  <c r="F9" i="17"/>
  <c r="I8" i="17"/>
  <c r="H8" i="17"/>
  <c r="G8" i="17"/>
  <c r="F8" i="17"/>
  <c r="I7" i="17"/>
  <c r="H7" i="17"/>
  <c r="G7" i="17"/>
  <c r="F7" i="17"/>
  <c r="G46" i="16"/>
  <c r="F46" i="16"/>
  <c r="G45" i="16"/>
  <c r="F45" i="16"/>
  <c r="G44" i="16"/>
  <c r="F44" i="16"/>
  <c r="G43" i="16"/>
  <c r="F43" i="16"/>
  <c r="G42" i="16"/>
  <c r="F42" i="16"/>
  <c r="I32" i="16"/>
  <c r="H32" i="16"/>
  <c r="G32" i="16"/>
  <c r="F32" i="16"/>
  <c r="I31" i="16"/>
  <c r="H31" i="16"/>
  <c r="G31" i="16"/>
  <c r="F31" i="16"/>
  <c r="I30" i="16"/>
  <c r="H30" i="16"/>
  <c r="G30" i="16"/>
  <c r="F30" i="16"/>
  <c r="I29" i="16"/>
  <c r="H29" i="16"/>
  <c r="G29" i="16"/>
  <c r="F29" i="16"/>
  <c r="I28" i="16"/>
  <c r="H28" i="16"/>
  <c r="G28" i="16"/>
  <c r="F28" i="16"/>
  <c r="I27" i="16"/>
  <c r="H27" i="16"/>
  <c r="G27" i="16"/>
  <c r="F27" i="16"/>
  <c r="I26" i="16"/>
  <c r="H26" i="16"/>
  <c r="G26" i="16"/>
  <c r="F26" i="16"/>
  <c r="I25" i="16"/>
  <c r="H25" i="16"/>
  <c r="G25" i="16"/>
  <c r="F25" i="16"/>
  <c r="I24" i="16"/>
  <c r="H24" i="16"/>
  <c r="G24" i="16"/>
  <c r="F24" i="16"/>
  <c r="I23" i="16"/>
  <c r="H23" i="16"/>
  <c r="G23" i="16"/>
  <c r="F23" i="16"/>
  <c r="I22" i="16"/>
  <c r="H22" i="16"/>
  <c r="G22" i="16"/>
  <c r="F22" i="16"/>
  <c r="I21" i="16"/>
  <c r="H21" i="16"/>
  <c r="G21" i="16"/>
  <c r="F21" i="16"/>
  <c r="I20" i="16"/>
  <c r="H20" i="16"/>
  <c r="G20" i="16"/>
  <c r="F20" i="16"/>
  <c r="I19" i="16"/>
  <c r="H19" i="16"/>
  <c r="G19" i="16"/>
  <c r="F19" i="16"/>
  <c r="I18" i="16"/>
  <c r="H18" i="16"/>
  <c r="G18" i="16"/>
  <c r="F18" i="16"/>
  <c r="I17" i="16"/>
  <c r="H17" i="16"/>
  <c r="G17" i="16"/>
  <c r="F17" i="16"/>
  <c r="I16" i="16"/>
  <c r="H16" i="16"/>
  <c r="G16" i="16"/>
  <c r="F16" i="16"/>
  <c r="I15" i="16"/>
  <c r="H15" i="16"/>
  <c r="G15" i="16"/>
  <c r="F15" i="16"/>
  <c r="I14" i="16"/>
  <c r="H14" i="16"/>
  <c r="G14" i="16"/>
  <c r="F14" i="16"/>
  <c r="I13" i="16"/>
  <c r="H13" i="16"/>
  <c r="G13" i="16"/>
  <c r="F13" i="16"/>
  <c r="I12" i="16"/>
  <c r="H12" i="16"/>
  <c r="G12" i="16"/>
  <c r="F12" i="16"/>
  <c r="I11" i="16"/>
  <c r="H11" i="16"/>
  <c r="G11" i="16"/>
  <c r="F11" i="16"/>
  <c r="I10" i="16"/>
  <c r="H10" i="16"/>
  <c r="G10" i="16"/>
  <c r="F10" i="16"/>
  <c r="I9" i="16"/>
  <c r="H9" i="16"/>
  <c r="G9" i="16"/>
  <c r="F9" i="16"/>
  <c r="I8" i="16"/>
  <c r="H8" i="16"/>
  <c r="G8" i="16"/>
  <c r="F8" i="16"/>
  <c r="I7" i="16"/>
  <c r="H7" i="16"/>
  <c r="G7" i="16"/>
  <c r="F7" i="16"/>
  <c r="G46" i="15"/>
  <c r="F46" i="15"/>
  <c r="G45" i="15"/>
  <c r="F45" i="15"/>
  <c r="G44" i="15"/>
  <c r="F44" i="15"/>
  <c r="G43" i="15"/>
  <c r="F43" i="15"/>
  <c r="G42" i="15"/>
  <c r="F42" i="15"/>
  <c r="I30" i="15"/>
  <c r="H30" i="15"/>
  <c r="G30" i="15"/>
  <c r="F30" i="15"/>
  <c r="I29" i="15"/>
  <c r="H29" i="15"/>
  <c r="G29" i="15"/>
  <c r="F29" i="15"/>
  <c r="I28" i="15"/>
  <c r="H28" i="15"/>
  <c r="G28" i="15"/>
  <c r="F28" i="15"/>
  <c r="I27" i="15"/>
  <c r="H27" i="15"/>
  <c r="G27" i="15"/>
  <c r="F27" i="15"/>
  <c r="I26" i="15"/>
  <c r="H26" i="15"/>
  <c r="G26" i="15"/>
  <c r="F26" i="15"/>
  <c r="I25" i="15"/>
  <c r="H25" i="15"/>
  <c r="G25" i="15"/>
  <c r="F25" i="15"/>
  <c r="I24" i="15"/>
  <c r="H24" i="15"/>
  <c r="G24" i="15"/>
  <c r="F24" i="15"/>
  <c r="I23" i="15"/>
  <c r="H23" i="15"/>
  <c r="G23" i="15"/>
  <c r="F23" i="15"/>
  <c r="I22" i="15"/>
  <c r="H22" i="15"/>
  <c r="G22" i="15"/>
  <c r="F22" i="15"/>
  <c r="I21" i="15"/>
  <c r="H21" i="15"/>
  <c r="G21" i="15"/>
  <c r="F21" i="15"/>
  <c r="I20" i="15"/>
  <c r="H20" i="15"/>
  <c r="G20" i="15"/>
  <c r="F20" i="15"/>
  <c r="I19" i="15"/>
  <c r="H19" i="15"/>
  <c r="G19" i="15"/>
  <c r="F19" i="15"/>
  <c r="I18" i="15"/>
  <c r="H18" i="15"/>
  <c r="G18" i="15"/>
  <c r="F18" i="15"/>
  <c r="I17" i="15"/>
  <c r="H17" i="15"/>
  <c r="G17" i="15"/>
  <c r="F17" i="15"/>
  <c r="I16" i="15"/>
  <c r="H16" i="15"/>
  <c r="G16" i="15"/>
  <c r="F16" i="15"/>
  <c r="I15" i="15"/>
  <c r="H15" i="15"/>
  <c r="G15" i="15"/>
  <c r="F15" i="15"/>
  <c r="I14" i="15"/>
  <c r="H14" i="15"/>
  <c r="G14" i="15"/>
  <c r="F14" i="15"/>
  <c r="I13" i="15"/>
  <c r="H13" i="15"/>
  <c r="G13" i="15"/>
  <c r="F13" i="15"/>
  <c r="I12" i="15"/>
  <c r="H12" i="15"/>
  <c r="G12" i="15"/>
  <c r="F12" i="15"/>
  <c r="I11" i="15"/>
  <c r="H11" i="15"/>
  <c r="G11" i="15"/>
  <c r="F11" i="15"/>
  <c r="I10" i="15"/>
  <c r="H10" i="15"/>
  <c r="G10" i="15"/>
  <c r="F10" i="15"/>
  <c r="I9" i="15"/>
  <c r="H9" i="15"/>
  <c r="G9" i="15"/>
  <c r="F9" i="15"/>
  <c r="I8" i="15"/>
  <c r="H8" i="15"/>
  <c r="G8" i="15"/>
  <c r="F8" i="15"/>
  <c r="I7" i="15"/>
  <c r="J16" i="18"/>
  <c r="K16" i="18"/>
  <c r="J22" i="18"/>
  <c r="K22" i="18"/>
  <c r="J28" i="18"/>
  <c r="K28" i="18"/>
  <c r="J34" i="18"/>
  <c r="K34" i="18"/>
  <c r="J9" i="15"/>
  <c r="K9" i="15"/>
  <c r="J10" i="17"/>
  <c r="K10" i="17"/>
  <c r="J9" i="19"/>
  <c r="K9" i="19"/>
  <c r="J19" i="18"/>
  <c r="K19" i="18"/>
  <c r="J25" i="18"/>
  <c r="K25" i="18"/>
  <c r="J31" i="18"/>
  <c r="K31" i="18"/>
  <c r="J13" i="18"/>
  <c r="K13" i="18"/>
  <c r="J7" i="17"/>
  <c r="K7" i="17"/>
  <c r="J10" i="19"/>
  <c r="K10" i="19"/>
  <c r="J12" i="18"/>
  <c r="K12" i="18"/>
  <c r="J14" i="18"/>
  <c r="K14" i="18"/>
  <c r="J17" i="18"/>
  <c r="K17" i="18"/>
  <c r="J20" i="18"/>
  <c r="K20" i="18"/>
  <c r="J23" i="18"/>
  <c r="K23" i="18"/>
  <c r="J26" i="18"/>
  <c r="K26" i="18"/>
  <c r="J29" i="18"/>
  <c r="K29" i="18"/>
  <c r="J32" i="18"/>
  <c r="K32" i="18"/>
  <c r="J35" i="18"/>
  <c r="K35" i="18"/>
  <c r="J15" i="18"/>
  <c r="K15" i="18"/>
  <c r="J18" i="18"/>
  <c r="K18" i="18"/>
  <c r="J21" i="18"/>
  <c r="K21" i="18"/>
  <c r="J24" i="18"/>
  <c r="K24" i="18"/>
  <c r="J27" i="18"/>
  <c r="K27" i="18"/>
  <c r="J30" i="18"/>
  <c r="K30" i="18"/>
  <c r="J33" i="18"/>
  <c r="K33" i="18"/>
  <c r="J9" i="17"/>
  <c r="K9" i="17"/>
  <c r="J13" i="16"/>
  <c r="K13" i="16"/>
  <c r="J28" i="16"/>
  <c r="K28" i="16"/>
  <c r="J19" i="16"/>
  <c r="K19" i="16"/>
  <c r="J25" i="16"/>
  <c r="K25" i="16"/>
  <c r="J31" i="16"/>
  <c r="K31" i="16"/>
  <c r="J12" i="16"/>
  <c r="K12" i="16"/>
  <c r="J15" i="16"/>
  <c r="K15" i="16"/>
  <c r="J18" i="16"/>
  <c r="K18" i="16"/>
  <c r="J21" i="16"/>
  <c r="K21" i="16"/>
  <c r="J24" i="16"/>
  <c r="K24" i="16"/>
  <c r="J27" i="16"/>
  <c r="K27" i="16"/>
  <c r="J30" i="16"/>
  <c r="K30" i="16"/>
  <c r="J22" i="16"/>
  <c r="K22" i="16"/>
  <c r="J16" i="16"/>
  <c r="K16" i="16"/>
  <c r="J14" i="16"/>
  <c r="K14" i="16"/>
  <c r="J17" i="16"/>
  <c r="K17" i="16"/>
  <c r="J20" i="16"/>
  <c r="K20" i="16"/>
  <c r="J23" i="16"/>
  <c r="K23" i="16"/>
  <c r="J26" i="16"/>
  <c r="K26" i="16"/>
  <c r="J29" i="16"/>
  <c r="K29" i="16"/>
  <c r="J32" i="16"/>
  <c r="K32" i="16"/>
  <c r="J17" i="15"/>
  <c r="K17" i="15"/>
  <c r="J14" i="15"/>
  <c r="K14" i="15"/>
  <c r="J23" i="15"/>
  <c r="K23" i="15"/>
  <c r="J13" i="15"/>
  <c r="K13" i="15"/>
  <c r="J16" i="15"/>
  <c r="K16" i="15"/>
  <c r="J22" i="15"/>
  <c r="K22" i="15"/>
  <c r="J25" i="15"/>
  <c r="K25" i="15"/>
  <c r="J28" i="15"/>
  <c r="K28" i="15"/>
  <c r="J20" i="15"/>
  <c r="K20" i="15"/>
  <c r="J26" i="15"/>
  <c r="K26" i="15"/>
  <c r="J29" i="15"/>
  <c r="K29" i="15"/>
  <c r="J19" i="15"/>
  <c r="K19" i="15"/>
  <c r="J11" i="15"/>
  <c r="K11" i="15"/>
  <c r="J12" i="15"/>
  <c r="K12" i="15"/>
  <c r="J15" i="15"/>
  <c r="K15" i="15"/>
  <c r="J18" i="15"/>
  <c r="K18" i="15"/>
  <c r="J21" i="15"/>
  <c r="K21" i="15"/>
  <c r="J24" i="15"/>
  <c r="K24" i="15"/>
  <c r="J27" i="15"/>
  <c r="K27" i="15"/>
  <c r="J30" i="15"/>
  <c r="K30" i="15"/>
  <c r="J12" i="20"/>
  <c r="K12" i="20"/>
  <c r="J13" i="20"/>
  <c r="K13" i="20"/>
  <c r="J14" i="20"/>
  <c r="K14" i="20"/>
  <c r="J15" i="20"/>
  <c r="K15" i="20"/>
  <c r="J16" i="20"/>
  <c r="K16" i="20"/>
  <c r="J17" i="20"/>
  <c r="K17" i="20"/>
  <c r="J18" i="20"/>
  <c r="K18" i="20"/>
  <c r="J19" i="20"/>
  <c r="K19" i="20"/>
  <c r="J20" i="20"/>
  <c r="K20" i="20"/>
  <c r="J21" i="20"/>
  <c r="K21" i="20"/>
  <c r="J22" i="20"/>
  <c r="K22" i="20"/>
  <c r="J23" i="20"/>
  <c r="K23" i="20"/>
  <c r="J24" i="20"/>
  <c r="K24" i="20"/>
  <c r="J25" i="20"/>
  <c r="K25" i="20"/>
  <c r="J26" i="20"/>
  <c r="K26" i="20"/>
  <c r="J27" i="20"/>
  <c r="K27" i="20"/>
  <c r="J28" i="20"/>
  <c r="K28" i="20"/>
  <c r="J29" i="20"/>
  <c r="K29" i="20"/>
  <c r="J30" i="20"/>
  <c r="K30" i="20"/>
  <c r="J31" i="20"/>
  <c r="K31" i="20"/>
  <c r="J32" i="20"/>
  <c r="K32" i="20"/>
  <c r="J33" i="20"/>
  <c r="K33" i="20"/>
  <c r="J34" i="20"/>
  <c r="K34" i="20"/>
  <c r="J35" i="20"/>
  <c r="K35" i="20"/>
  <c r="J8" i="15"/>
  <c r="K8" i="15"/>
  <c r="J7" i="20"/>
  <c r="K7" i="20"/>
  <c r="J8" i="20"/>
  <c r="K8" i="20"/>
  <c r="J11" i="20"/>
  <c r="K11" i="20"/>
  <c r="J9" i="20"/>
  <c r="K9" i="20"/>
  <c r="J10" i="20"/>
  <c r="K10" i="20"/>
  <c r="J12" i="19"/>
  <c r="K12" i="19"/>
  <c r="J13" i="19"/>
  <c r="K13" i="19"/>
  <c r="J14" i="19"/>
  <c r="K14" i="19"/>
  <c r="J15" i="19"/>
  <c r="K15" i="19"/>
  <c r="J16" i="19"/>
  <c r="K16" i="19"/>
  <c r="J17" i="19"/>
  <c r="K17" i="19"/>
  <c r="J18" i="19"/>
  <c r="K18" i="19"/>
  <c r="J19" i="19"/>
  <c r="K19" i="19"/>
  <c r="J20" i="19"/>
  <c r="K20" i="19"/>
  <c r="J21" i="19"/>
  <c r="K21" i="19"/>
  <c r="J22" i="19"/>
  <c r="K22" i="19"/>
  <c r="J23" i="19"/>
  <c r="K23" i="19"/>
  <c r="J24" i="19"/>
  <c r="K24" i="19"/>
  <c r="J25" i="19"/>
  <c r="K25" i="19"/>
  <c r="J26" i="19"/>
  <c r="K26" i="19"/>
  <c r="J27" i="19"/>
  <c r="K27" i="19"/>
  <c r="J28" i="19"/>
  <c r="K28" i="19"/>
  <c r="J29" i="19"/>
  <c r="K29" i="19"/>
  <c r="J30" i="19"/>
  <c r="K30" i="19"/>
  <c r="J31" i="19"/>
  <c r="K31" i="19"/>
  <c r="J32" i="19"/>
  <c r="K32" i="19"/>
  <c r="J33" i="19"/>
  <c r="K33" i="19"/>
  <c r="J34" i="19"/>
  <c r="K34" i="19"/>
  <c r="J35" i="19"/>
  <c r="K35" i="19"/>
  <c r="J8" i="19"/>
  <c r="K8" i="19"/>
  <c r="J11" i="19"/>
  <c r="K11" i="19"/>
  <c r="J7" i="19"/>
  <c r="K7" i="19"/>
  <c r="J7" i="18"/>
  <c r="K7" i="18"/>
  <c r="J8" i="18"/>
  <c r="K8" i="18"/>
  <c r="J11" i="18"/>
  <c r="K11" i="18"/>
  <c r="J9" i="18"/>
  <c r="K9" i="18"/>
  <c r="J10" i="18"/>
  <c r="K10" i="18"/>
  <c r="J12" i="17"/>
  <c r="K12" i="17"/>
  <c r="J13" i="17"/>
  <c r="K13" i="17"/>
  <c r="J14" i="17"/>
  <c r="K14" i="17"/>
  <c r="J15" i="17"/>
  <c r="K15" i="17"/>
  <c r="J16" i="17"/>
  <c r="K16" i="17"/>
  <c r="J17" i="17"/>
  <c r="K17" i="17"/>
  <c r="J18" i="17"/>
  <c r="K18" i="17"/>
  <c r="J19" i="17"/>
  <c r="K19" i="17"/>
  <c r="J20" i="17"/>
  <c r="K20" i="17"/>
  <c r="J21" i="17"/>
  <c r="K21" i="17"/>
  <c r="J22" i="17"/>
  <c r="K22" i="17"/>
  <c r="J23" i="17"/>
  <c r="K23" i="17"/>
  <c r="J24" i="17"/>
  <c r="K24" i="17"/>
  <c r="J25" i="17"/>
  <c r="K25" i="17"/>
  <c r="J26" i="17"/>
  <c r="K26" i="17"/>
  <c r="J27" i="17"/>
  <c r="K27" i="17"/>
  <c r="J28" i="17"/>
  <c r="K28" i="17"/>
  <c r="J29" i="17"/>
  <c r="K29" i="17"/>
  <c r="J30" i="17"/>
  <c r="K30" i="17"/>
  <c r="J31" i="17"/>
  <c r="K31" i="17"/>
  <c r="J32" i="17"/>
  <c r="K32" i="17"/>
  <c r="J33" i="17"/>
  <c r="K33" i="17"/>
  <c r="J34" i="17"/>
  <c r="K34" i="17"/>
  <c r="J35" i="17"/>
  <c r="K35" i="17"/>
  <c r="J8" i="17"/>
  <c r="K8" i="17"/>
  <c r="J11" i="17"/>
  <c r="K11" i="17"/>
  <c r="J7" i="16"/>
  <c r="K7" i="16"/>
  <c r="J11" i="16"/>
  <c r="K11" i="16"/>
  <c r="J8" i="16"/>
  <c r="K8" i="16"/>
  <c r="J9" i="16"/>
  <c r="K9" i="16"/>
  <c r="J10" i="16"/>
  <c r="K10" i="16"/>
  <c r="J7" i="15"/>
  <c r="K7" i="15"/>
  <c r="J10" i="15"/>
  <c r="K10" i="15"/>
  <c r="K47" i="20"/>
  <c r="K48" i="20"/>
  <c r="K47" i="19"/>
  <c r="K48" i="19"/>
  <c r="K48" i="18"/>
  <c r="K47" i="18"/>
  <c r="K48" i="17"/>
  <c r="K47" i="17"/>
  <c r="K47" i="16"/>
  <c r="K48" i="16"/>
  <c r="K47" i="15"/>
  <c r="K48" i="15"/>
  <c r="G46" i="13"/>
  <c r="F46" i="13"/>
  <c r="G45" i="13"/>
  <c r="F45" i="13"/>
  <c r="G44" i="13"/>
  <c r="F44" i="13"/>
  <c r="G43" i="13"/>
  <c r="F43" i="13"/>
  <c r="G42" i="13"/>
  <c r="F42" i="13"/>
  <c r="I33" i="13"/>
  <c r="H33" i="13"/>
  <c r="G33" i="13"/>
  <c r="F33" i="13"/>
  <c r="I32" i="13"/>
  <c r="H32" i="13"/>
  <c r="G32" i="13"/>
  <c r="F32" i="13"/>
  <c r="I31" i="13"/>
  <c r="H31" i="13"/>
  <c r="G31" i="13"/>
  <c r="F31" i="13"/>
  <c r="I30" i="13"/>
  <c r="H30" i="13"/>
  <c r="G30" i="13"/>
  <c r="F30" i="13"/>
  <c r="I29" i="13"/>
  <c r="H29" i="13"/>
  <c r="G29" i="13"/>
  <c r="F29" i="13"/>
  <c r="I28" i="13"/>
  <c r="H28" i="13"/>
  <c r="G28" i="13"/>
  <c r="F28" i="13"/>
  <c r="I27" i="13"/>
  <c r="H27" i="13"/>
  <c r="G27" i="13"/>
  <c r="F27" i="13"/>
  <c r="I26" i="13"/>
  <c r="H26" i="13"/>
  <c r="G26" i="13"/>
  <c r="F26" i="13"/>
  <c r="I25" i="13"/>
  <c r="H25" i="13"/>
  <c r="G25" i="13"/>
  <c r="F25" i="13"/>
  <c r="I24" i="13"/>
  <c r="H24" i="13"/>
  <c r="G24" i="13"/>
  <c r="F24" i="13"/>
  <c r="I23" i="13"/>
  <c r="H23" i="13"/>
  <c r="G23" i="13"/>
  <c r="F23" i="13"/>
  <c r="I22" i="13"/>
  <c r="H22" i="13"/>
  <c r="G22" i="13"/>
  <c r="F22" i="13"/>
  <c r="I21" i="13"/>
  <c r="H21" i="13"/>
  <c r="G21" i="13"/>
  <c r="F21" i="13"/>
  <c r="I20" i="13"/>
  <c r="H20" i="13"/>
  <c r="G20" i="13"/>
  <c r="F20" i="13"/>
  <c r="I19" i="13"/>
  <c r="H19" i="13"/>
  <c r="G19" i="13"/>
  <c r="F19" i="13"/>
  <c r="I18" i="13"/>
  <c r="H18" i="13"/>
  <c r="G18" i="13"/>
  <c r="F18" i="13"/>
  <c r="I17" i="13"/>
  <c r="H17" i="13"/>
  <c r="G17" i="13"/>
  <c r="F17" i="13"/>
  <c r="I16" i="13"/>
  <c r="H16" i="13"/>
  <c r="G16" i="13"/>
  <c r="F16" i="13"/>
  <c r="I15" i="13"/>
  <c r="H15" i="13"/>
  <c r="G15" i="13"/>
  <c r="F15" i="13"/>
  <c r="I14" i="13"/>
  <c r="H14" i="13"/>
  <c r="G14" i="13"/>
  <c r="F14" i="13"/>
  <c r="I13" i="13"/>
  <c r="H13" i="13"/>
  <c r="G13" i="13"/>
  <c r="F13" i="13"/>
  <c r="I12" i="13"/>
  <c r="H12" i="13"/>
  <c r="G12" i="13"/>
  <c r="F12" i="13"/>
  <c r="I11" i="13"/>
  <c r="H11" i="13"/>
  <c r="G11" i="13"/>
  <c r="F11" i="13"/>
  <c r="I10" i="13"/>
  <c r="H10" i="13"/>
  <c r="G10" i="13"/>
  <c r="F10" i="13"/>
  <c r="I9" i="13"/>
  <c r="H9" i="13"/>
  <c r="G9" i="13"/>
  <c r="F9" i="13"/>
  <c r="I8" i="13"/>
  <c r="H8" i="13"/>
  <c r="G8" i="13"/>
  <c r="F8" i="13"/>
  <c r="I7" i="13"/>
  <c r="H7" i="13"/>
  <c r="G7" i="13"/>
  <c r="F7" i="13"/>
  <c r="G46" i="12"/>
  <c r="F46" i="12"/>
  <c r="G45" i="12"/>
  <c r="F45" i="12"/>
  <c r="G44" i="12"/>
  <c r="F44" i="12"/>
  <c r="G43" i="12"/>
  <c r="F43" i="12"/>
  <c r="G42" i="12"/>
  <c r="F42" i="12"/>
  <c r="I34" i="12"/>
  <c r="H34" i="12"/>
  <c r="G34" i="12"/>
  <c r="F34" i="12"/>
  <c r="I33" i="12"/>
  <c r="H33" i="12"/>
  <c r="G33" i="12"/>
  <c r="F33" i="12"/>
  <c r="I32" i="12"/>
  <c r="H32" i="12"/>
  <c r="G32" i="12"/>
  <c r="F32" i="12"/>
  <c r="I31" i="12"/>
  <c r="H31" i="12"/>
  <c r="G31" i="12"/>
  <c r="F31" i="12"/>
  <c r="I30" i="12"/>
  <c r="H30" i="12"/>
  <c r="G30" i="12"/>
  <c r="F30" i="12"/>
  <c r="I29" i="12"/>
  <c r="H29" i="12"/>
  <c r="G29" i="12"/>
  <c r="F29" i="12"/>
  <c r="I28" i="12"/>
  <c r="H28" i="12"/>
  <c r="G28" i="12"/>
  <c r="F28" i="12"/>
  <c r="I27" i="12"/>
  <c r="H27" i="12"/>
  <c r="G27" i="12"/>
  <c r="F27" i="12"/>
  <c r="I26" i="12"/>
  <c r="H26" i="12"/>
  <c r="G26" i="12"/>
  <c r="F26" i="12"/>
  <c r="I25" i="12"/>
  <c r="H25" i="12"/>
  <c r="G25" i="12"/>
  <c r="F25" i="12"/>
  <c r="I24" i="12"/>
  <c r="H24" i="12"/>
  <c r="G24" i="12"/>
  <c r="F24" i="12"/>
  <c r="I23" i="12"/>
  <c r="H23" i="12"/>
  <c r="G23" i="12"/>
  <c r="F23" i="12"/>
  <c r="I22" i="12"/>
  <c r="H22" i="12"/>
  <c r="G22" i="12"/>
  <c r="F22" i="12"/>
  <c r="I21" i="12"/>
  <c r="H21" i="12"/>
  <c r="G21" i="12"/>
  <c r="F21" i="12"/>
  <c r="I20" i="12"/>
  <c r="H20" i="12"/>
  <c r="G20" i="12"/>
  <c r="F20" i="12"/>
  <c r="I19" i="12"/>
  <c r="H19" i="12"/>
  <c r="G19" i="12"/>
  <c r="F19" i="12"/>
  <c r="I18" i="12"/>
  <c r="H18" i="12"/>
  <c r="G18" i="12"/>
  <c r="F18" i="12"/>
  <c r="I17" i="12"/>
  <c r="H17" i="12"/>
  <c r="G17" i="12"/>
  <c r="F17" i="12"/>
  <c r="I16" i="12"/>
  <c r="H16" i="12"/>
  <c r="G16" i="12"/>
  <c r="F16" i="12"/>
  <c r="I15" i="12"/>
  <c r="H15" i="12"/>
  <c r="G15" i="12"/>
  <c r="F15" i="12"/>
  <c r="I14" i="12"/>
  <c r="H14" i="12"/>
  <c r="G14" i="12"/>
  <c r="F14" i="12"/>
  <c r="I13" i="12"/>
  <c r="H13" i="12"/>
  <c r="G13" i="12"/>
  <c r="F13" i="12"/>
  <c r="I12" i="12"/>
  <c r="H12" i="12"/>
  <c r="G12" i="12"/>
  <c r="F12" i="12"/>
  <c r="I11" i="12"/>
  <c r="H11" i="12"/>
  <c r="G11" i="12"/>
  <c r="F11" i="12"/>
  <c r="I10" i="12"/>
  <c r="H10" i="12"/>
  <c r="G10" i="12"/>
  <c r="F10" i="12"/>
  <c r="I9" i="12"/>
  <c r="H9" i="12"/>
  <c r="G9" i="12"/>
  <c r="F9" i="12"/>
  <c r="I8" i="12"/>
  <c r="H8" i="12"/>
  <c r="G8" i="12"/>
  <c r="F8" i="12"/>
  <c r="I7" i="12"/>
  <c r="H7" i="12"/>
  <c r="G7" i="12"/>
  <c r="F7" i="12"/>
  <c r="G46" i="11"/>
  <c r="F46" i="11"/>
  <c r="G45" i="11"/>
  <c r="F45" i="11"/>
  <c r="G44" i="11"/>
  <c r="F44" i="11"/>
  <c r="G43" i="11"/>
  <c r="F43" i="11"/>
  <c r="G42" i="11"/>
  <c r="F42" i="11"/>
  <c r="I35" i="11"/>
  <c r="H35" i="11"/>
  <c r="G35" i="11"/>
  <c r="F35" i="11"/>
  <c r="I34" i="11"/>
  <c r="H34" i="11"/>
  <c r="G34" i="11"/>
  <c r="F34" i="11"/>
  <c r="I33" i="11"/>
  <c r="H33" i="11"/>
  <c r="G33" i="11"/>
  <c r="F33" i="11"/>
  <c r="I32" i="11"/>
  <c r="H32" i="11"/>
  <c r="G32" i="11"/>
  <c r="F32" i="11"/>
  <c r="I31" i="11"/>
  <c r="H31" i="11"/>
  <c r="G31" i="11"/>
  <c r="F31" i="11"/>
  <c r="I30" i="11"/>
  <c r="H30" i="11"/>
  <c r="G30" i="11"/>
  <c r="F30" i="11"/>
  <c r="I29" i="11"/>
  <c r="H29" i="11"/>
  <c r="G29" i="11"/>
  <c r="F29" i="11"/>
  <c r="I28" i="11"/>
  <c r="H28" i="11"/>
  <c r="G28" i="11"/>
  <c r="F28" i="11"/>
  <c r="I27" i="11"/>
  <c r="H27" i="11"/>
  <c r="G27" i="11"/>
  <c r="F27" i="11"/>
  <c r="I26" i="11"/>
  <c r="H26" i="11"/>
  <c r="G26" i="11"/>
  <c r="F26" i="11"/>
  <c r="I25" i="11"/>
  <c r="H25" i="11"/>
  <c r="G25" i="11"/>
  <c r="F25" i="11"/>
  <c r="I24" i="11"/>
  <c r="H24" i="11"/>
  <c r="G24" i="11"/>
  <c r="F24" i="11"/>
  <c r="I23" i="11"/>
  <c r="H23" i="11"/>
  <c r="G23" i="11"/>
  <c r="F23" i="11"/>
  <c r="I22" i="11"/>
  <c r="H22" i="11"/>
  <c r="G22" i="11"/>
  <c r="F22" i="11"/>
  <c r="I21" i="11"/>
  <c r="H21" i="11"/>
  <c r="G21" i="11"/>
  <c r="F21" i="11"/>
  <c r="I20" i="11"/>
  <c r="H20" i="11"/>
  <c r="G20" i="11"/>
  <c r="F20" i="11"/>
  <c r="I19" i="11"/>
  <c r="H19" i="11"/>
  <c r="G19" i="11"/>
  <c r="F19" i="11"/>
  <c r="I18" i="11"/>
  <c r="H18" i="11"/>
  <c r="G18" i="11"/>
  <c r="F18" i="11"/>
  <c r="I17" i="11"/>
  <c r="H17" i="11"/>
  <c r="G17" i="11"/>
  <c r="F17" i="11"/>
  <c r="I16" i="11"/>
  <c r="H16" i="11"/>
  <c r="G16" i="11"/>
  <c r="F16" i="11"/>
  <c r="I15" i="11"/>
  <c r="H15" i="11"/>
  <c r="G15" i="11"/>
  <c r="F15" i="11"/>
  <c r="I14" i="11"/>
  <c r="H14" i="11"/>
  <c r="G14" i="11"/>
  <c r="F14" i="11"/>
  <c r="I13" i="11"/>
  <c r="H13" i="11"/>
  <c r="G13" i="11"/>
  <c r="F13" i="11"/>
  <c r="I12" i="11"/>
  <c r="H12" i="11"/>
  <c r="G12" i="11"/>
  <c r="F12" i="11"/>
  <c r="I11" i="11"/>
  <c r="H11" i="11"/>
  <c r="G11" i="11"/>
  <c r="F11" i="11"/>
  <c r="I10" i="11"/>
  <c r="H10" i="11"/>
  <c r="G10" i="11"/>
  <c r="F10" i="11"/>
  <c r="I9" i="11"/>
  <c r="H9" i="11"/>
  <c r="G9" i="11"/>
  <c r="F9" i="11"/>
  <c r="I8" i="11"/>
  <c r="H8" i="11"/>
  <c r="G8" i="11"/>
  <c r="F8" i="11"/>
  <c r="I7" i="11"/>
  <c r="H7" i="11"/>
  <c r="G7" i="11"/>
  <c r="F7" i="11"/>
  <c r="I7" i="10"/>
  <c r="F10" i="10"/>
  <c r="F11" i="10"/>
  <c r="F14" i="10"/>
  <c r="F15" i="10"/>
  <c r="F18" i="10"/>
  <c r="F19" i="10"/>
  <c r="F22" i="10"/>
  <c r="F23" i="10"/>
  <c r="F26" i="10"/>
  <c r="F27" i="10"/>
  <c r="F8" i="10"/>
  <c r="G8" i="10"/>
  <c r="H8" i="10"/>
  <c r="I8" i="10"/>
  <c r="F9" i="10"/>
  <c r="G9" i="10"/>
  <c r="H9" i="10"/>
  <c r="I9" i="10"/>
  <c r="G46" i="10"/>
  <c r="F46" i="10"/>
  <c r="G45" i="10"/>
  <c r="F45" i="10"/>
  <c r="G44" i="10"/>
  <c r="F44" i="10"/>
  <c r="G43" i="10"/>
  <c r="F43" i="10"/>
  <c r="G42" i="10"/>
  <c r="F42" i="10"/>
  <c r="I35" i="10"/>
  <c r="H35" i="10"/>
  <c r="G35" i="10"/>
  <c r="F35" i="10"/>
  <c r="I34" i="10"/>
  <c r="H34" i="10"/>
  <c r="G34" i="10"/>
  <c r="F34" i="10"/>
  <c r="I33" i="10"/>
  <c r="H33" i="10"/>
  <c r="G33" i="10"/>
  <c r="F33" i="10"/>
  <c r="I32" i="10"/>
  <c r="H32" i="10"/>
  <c r="G32" i="10"/>
  <c r="F32" i="10"/>
  <c r="I31" i="10"/>
  <c r="H31" i="10"/>
  <c r="G31" i="10"/>
  <c r="F31" i="10"/>
  <c r="I30" i="10"/>
  <c r="H30" i="10"/>
  <c r="G30" i="10"/>
  <c r="F30" i="10"/>
  <c r="I29" i="10"/>
  <c r="H29" i="10"/>
  <c r="G29" i="10"/>
  <c r="F29" i="10"/>
  <c r="I28" i="10"/>
  <c r="H28" i="10"/>
  <c r="G28" i="10"/>
  <c r="F28" i="10"/>
  <c r="H27" i="10"/>
  <c r="G27" i="10"/>
  <c r="G26" i="10"/>
  <c r="I25" i="10"/>
  <c r="H25" i="10"/>
  <c r="G25" i="10"/>
  <c r="F25" i="10"/>
  <c r="I24" i="10"/>
  <c r="H24" i="10"/>
  <c r="G24" i="10"/>
  <c r="F24" i="10"/>
  <c r="H23" i="10"/>
  <c r="G23" i="10"/>
  <c r="G22" i="10"/>
  <c r="I21" i="10"/>
  <c r="H21" i="10"/>
  <c r="G21" i="10"/>
  <c r="F21" i="10"/>
  <c r="I20" i="10"/>
  <c r="H20" i="10"/>
  <c r="G20" i="10"/>
  <c r="F20" i="10"/>
  <c r="H19" i="10"/>
  <c r="G19" i="10"/>
  <c r="G18" i="10"/>
  <c r="I17" i="10"/>
  <c r="H17" i="10"/>
  <c r="G17" i="10"/>
  <c r="F17" i="10"/>
  <c r="I16" i="10"/>
  <c r="H16" i="10"/>
  <c r="G16" i="10"/>
  <c r="F16" i="10"/>
  <c r="H15" i="10"/>
  <c r="G15" i="10"/>
  <c r="G14" i="10"/>
  <c r="I13" i="10"/>
  <c r="H13" i="10"/>
  <c r="G13" i="10"/>
  <c r="F13" i="10"/>
  <c r="I12" i="10"/>
  <c r="H12" i="10"/>
  <c r="G12" i="10"/>
  <c r="F12" i="10"/>
  <c r="H11" i="10"/>
  <c r="G11" i="10"/>
  <c r="G10" i="10"/>
  <c r="G46" i="9"/>
  <c r="F46" i="9"/>
  <c r="G45" i="9"/>
  <c r="F45" i="9"/>
  <c r="G44" i="9"/>
  <c r="F44" i="9"/>
  <c r="G43" i="9"/>
  <c r="F43" i="9"/>
  <c r="G42" i="9"/>
  <c r="F42" i="9"/>
  <c r="I32" i="9"/>
  <c r="H32" i="9"/>
  <c r="G32" i="9"/>
  <c r="F32" i="9"/>
  <c r="I31" i="9"/>
  <c r="H31" i="9"/>
  <c r="G31" i="9"/>
  <c r="F31" i="9"/>
  <c r="I30" i="9"/>
  <c r="H30" i="9"/>
  <c r="G30" i="9"/>
  <c r="F30" i="9"/>
  <c r="I29" i="9"/>
  <c r="H29" i="9"/>
  <c r="G29" i="9"/>
  <c r="F29" i="9"/>
  <c r="I28" i="9"/>
  <c r="H28" i="9"/>
  <c r="G28" i="9"/>
  <c r="F28" i="9"/>
  <c r="I27" i="9"/>
  <c r="H27" i="9"/>
  <c r="G27" i="9"/>
  <c r="F27" i="9"/>
  <c r="I26" i="9"/>
  <c r="H26" i="9"/>
  <c r="G26" i="9"/>
  <c r="F26" i="9"/>
  <c r="I25" i="9"/>
  <c r="H25" i="9"/>
  <c r="G25" i="9"/>
  <c r="F25" i="9"/>
  <c r="I24" i="9"/>
  <c r="H24" i="9"/>
  <c r="G24" i="9"/>
  <c r="F24" i="9"/>
  <c r="I23" i="9"/>
  <c r="H23" i="9"/>
  <c r="G23" i="9"/>
  <c r="F23" i="9"/>
  <c r="I22" i="9"/>
  <c r="H22" i="9"/>
  <c r="G22" i="9"/>
  <c r="F22" i="9"/>
  <c r="I21" i="9"/>
  <c r="H21" i="9"/>
  <c r="G21" i="9"/>
  <c r="F21" i="9"/>
  <c r="I20" i="9"/>
  <c r="H20" i="9"/>
  <c r="G20" i="9"/>
  <c r="F20" i="9"/>
  <c r="I19" i="9"/>
  <c r="H19" i="9"/>
  <c r="G19" i="9"/>
  <c r="F19" i="9"/>
  <c r="I18" i="9"/>
  <c r="H18" i="9"/>
  <c r="G18" i="9"/>
  <c r="F18" i="9"/>
  <c r="I17" i="9"/>
  <c r="H17" i="9"/>
  <c r="G17" i="9"/>
  <c r="F17" i="9"/>
  <c r="I16" i="9"/>
  <c r="H16" i="9"/>
  <c r="G16" i="9"/>
  <c r="F16" i="9"/>
  <c r="I15" i="9"/>
  <c r="H15" i="9"/>
  <c r="G15" i="9"/>
  <c r="F15" i="9"/>
  <c r="I14" i="9"/>
  <c r="H14" i="9"/>
  <c r="G14" i="9"/>
  <c r="F14" i="9"/>
  <c r="I13" i="9"/>
  <c r="H13" i="9"/>
  <c r="G13" i="9"/>
  <c r="F13" i="9"/>
  <c r="I12" i="9"/>
  <c r="H12" i="9"/>
  <c r="G12" i="9"/>
  <c r="F12" i="9"/>
  <c r="I11" i="9"/>
  <c r="H11" i="9"/>
  <c r="G11" i="9"/>
  <c r="F11" i="9"/>
  <c r="I10" i="9"/>
  <c r="H10" i="9"/>
  <c r="G10" i="9"/>
  <c r="F10" i="9"/>
  <c r="I9" i="9"/>
  <c r="H9" i="9"/>
  <c r="G9" i="9"/>
  <c r="F9" i="9"/>
  <c r="I8" i="9"/>
  <c r="H8" i="9"/>
  <c r="G8" i="9"/>
  <c r="F8" i="9"/>
  <c r="I7" i="9"/>
  <c r="H7" i="9"/>
  <c r="G7" i="9"/>
  <c r="F7" i="9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G46" i="8"/>
  <c r="F46" i="8"/>
  <c r="G45" i="8"/>
  <c r="F45" i="8"/>
  <c r="G44" i="8"/>
  <c r="F44" i="8"/>
  <c r="G43" i="8"/>
  <c r="F43" i="8"/>
  <c r="G42" i="8"/>
  <c r="F42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I27" i="8"/>
  <c r="H27" i="8"/>
  <c r="G27" i="8"/>
  <c r="I26" i="8"/>
  <c r="H26" i="8"/>
  <c r="G26" i="8"/>
  <c r="I25" i="8"/>
  <c r="H25" i="8"/>
  <c r="G25" i="8"/>
  <c r="I24" i="8"/>
  <c r="H24" i="8"/>
  <c r="G24" i="8"/>
  <c r="I23" i="8"/>
  <c r="H23" i="8"/>
  <c r="G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I9" i="8"/>
  <c r="H9" i="8"/>
  <c r="G9" i="8"/>
  <c r="I8" i="8"/>
  <c r="H8" i="8"/>
  <c r="G8" i="8"/>
  <c r="I7" i="8"/>
  <c r="H7" i="8"/>
  <c r="G7" i="8"/>
  <c r="W8" i="15"/>
  <c r="P10" i="16"/>
  <c r="P10" i="15"/>
  <c r="V11" i="15"/>
  <c r="O11" i="18"/>
  <c r="X8" i="15"/>
  <c r="J22" i="11"/>
  <c r="K22" i="11"/>
  <c r="O7" i="15"/>
  <c r="P8" i="20"/>
  <c r="P8" i="15"/>
  <c r="Q8" i="15"/>
  <c r="Q11" i="19"/>
  <c r="O11" i="15"/>
  <c r="V7" i="18"/>
  <c r="S8" i="15"/>
  <c r="Q10" i="20"/>
  <c r="P10" i="20"/>
  <c r="Q8" i="20"/>
  <c r="W8" i="20"/>
  <c r="S7" i="19"/>
  <c r="J24" i="12"/>
  <c r="K24" i="12"/>
  <c r="J30" i="12"/>
  <c r="K30" i="12"/>
  <c r="J21" i="12"/>
  <c r="K21" i="12"/>
  <c r="J27" i="12"/>
  <c r="K27" i="12"/>
  <c r="J33" i="12"/>
  <c r="K33" i="12"/>
  <c r="O7" i="18"/>
  <c r="J23" i="11"/>
  <c r="K23" i="11"/>
  <c r="O7" i="17"/>
  <c r="P10" i="17"/>
  <c r="Q7" i="17"/>
  <c r="S11" i="16"/>
  <c r="S10" i="16"/>
  <c r="O7" i="16"/>
  <c r="U7" i="15"/>
  <c r="Y7" i="15"/>
  <c r="Y8" i="15"/>
  <c r="Q7" i="15"/>
  <c r="U8" i="15"/>
  <c r="P11" i="15"/>
  <c r="W7" i="15"/>
  <c r="S10" i="15"/>
  <c r="R7" i="15"/>
  <c r="S7" i="15"/>
  <c r="P7" i="20"/>
  <c r="Y7" i="20"/>
  <c r="O7" i="20"/>
  <c r="V11" i="20"/>
  <c r="O11" i="19"/>
  <c r="P11" i="19"/>
  <c r="V8" i="19"/>
  <c r="Y8" i="19"/>
  <c r="P8" i="18"/>
  <c r="Q7" i="18"/>
  <c r="U11" i="18"/>
  <c r="W8" i="17"/>
  <c r="W10" i="17"/>
  <c r="U8" i="16"/>
  <c r="O8" i="16"/>
  <c r="W11" i="16"/>
  <c r="O8" i="15"/>
  <c r="V8" i="15"/>
  <c r="T8" i="15"/>
  <c r="P7" i="15"/>
  <c r="V7" i="15"/>
  <c r="W7" i="20"/>
  <c r="X8" i="20"/>
  <c r="U11" i="20"/>
  <c r="U7" i="20"/>
  <c r="T11" i="20"/>
  <c r="S11" i="20"/>
  <c r="S7" i="20"/>
  <c r="T8" i="20"/>
  <c r="O10" i="20"/>
  <c r="Q7" i="20"/>
  <c r="R8" i="20"/>
  <c r="Y8" i="20"/>
  <c r="V7" i="20"/>
  <c r="S8" i="20"/>
  <c r="U8" i="20"/>
  <c r="R7" i="20"/>
  <c r="O8" i="20"/>
  <c r="V8" i="20"/>
  <c r="W8" i="19"/>
  <c r="T7" i="19"/>
  <c r="Y7" i="19"/>
  <c r="R11" i="19"/>
  <c r="U7" i="19"/>
  <c r="V10" i="19"/>
  <c r="X8" i="19"/>
  <c r="R7" i="19"/>
  <c r="W11" i="19"/>
  <c r="J29" i="12"/>
  <c r="K29" i="12"/>
  <c r="J32" i="12"/>
  <c r="K32" i="12"/>
  <c r="J22" i="12"/>
  <c r="K22" i="12"/>
  <c r="J25" i="12"/>
  <c r="K25" i="12"/>
  <c r="J28" i="12"/>
  <c r="K28" i="12"/>
  <c r="J31" i="12"/>
  <c r="K31" i="12"/>
  <c r="J34" i="12"/>
  <c r="K34" i="12"/>
  <c r="J23" i="12"/>
  <c r="K23" i="12"/>
  <c r="J26" i="12"/>
  <c r="K26" i="12"/>
  <c r="Y8" i="18"/>
  <c r="R7" i="18"/>
  <c r="Y11" i="18"/>
  <c r="P7" i="18"/>
  <c r="U8" i="18"/>
  <c r="R11" i="18"/>
  <c r="W8" i="18"/>
  <c r="V8" i="18"/>
  <c r="Q8" i="18"/>
  <c r="X8" i="18"/>
  <c r="O8" i="18"/>
  <c r="W7" i="18"/>
  <c r="S8" i="18"/>
  <c r="T8" i="18"/>
  <c r="U7" i="18"/>
  <c r="S7" i="18"/>
  <c r="Y7" i="18"/>
  <c r="R8" i="18"/>
  <c r="J33" i="11"/>
  <c r="K33" i="11"/>
  <c r="J32" i="11"/>
  <c r="K32" i="11"/>
  <c r="V10" i="17"/>
  <c r="Y10" i="17"/>
  <c r="U8" i="17"/>
  <c r="V11" i="17"/>
  <c r="V8" i="17"/>
  <c r="Y7" i="17"/>
  <c r="O11" i="16"/>
  <c r="O10" i="16"/>
  <c r="Y10" i="16"/>
  <c r="Y11" i="16"/>
  <c r="U10" i="16"/>
  <c r="R11" i="16"/>
  <c r="U11" i="16"/>
  <c r="T11" i="16"/>
  <c r="V11" i="16"/>
  <c r="Q10" i="16"/>
  <c r="X10" i="16"/>
  <c r="Q11" i="16"/>
  <c r="X7" i="16"/>
  <c r="T10" i="16"/>
  <c r="W10" i="16"/>
  <c r="P11" i="16"/>
  <c r="R10" i="15"/>
  <c r="T7" i="15"/>
  <c r="R8" i="15"/>
  <c r="J30" i="8"/>
  <c r="K30" i="8"/>
  <c r="K49" i="19"/>
  <c r="J34" i="11"/>
  <c r="K34" i="11"/>
  <c r="J35" i="11"/>
  <c r="K35" i="11"/>
  <c r="J31" i="11"/>
  <c r="K31" i="11"/>
  <c r="J27" i="11"/>
  <c r="K27" i="11"/>
  <c r="J29" i="11"/>
  <c r="K29" i="11"/>
  <c r="K49" i="17"/>
  <c r="J19" i="9"/>
  <c r="K19" i="9"/>
  <c r="J20" i="9"/>
  <c r="K20" i="9"/>
  <c r="J21" i="9"/>
  <c r="K21" i="9"/>
  <c r="J22" i="9"/>
  <c r="K22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18" i="9"/>
  <c r="K18" i="9"/>
  <c r="J23" i="9"/>
  <c r="K23" i="9"/>
  <c r="J32" i="8"/>
  <c r="K32" i="8"/>
  <c r="J34" i="8"/>
  <c r="K34" i="8"/>
  <c r="O11" i="20"/>
  <c r="R11" i="20"/>
  <c r="Q11" i="20"/>
  <c r="R10" i="20"/>
  <c r="V10" i="20"/>
  <c r="X11" i="20"/>
  <c r="Y10" i="20"/>
  <c r="X10" i="20"/>
  <c r="K49" i="20"/>
  <c r="W10" i="20"/>
  <c r="W11" i="20"/>
  <c r="X7" i="20"/>
  <c r="T7" i="20"/>
  <c r="U10" i="20"/>
  <c r="T10" i="20"/>
  <c r="Y11" i="20"/>
  <c r="S10" i="20"/>
  <c r="P11" i="20"/>
  <c r="J26" i="13"/>
  <c r="K26" i="13"/>
  <c r="J27" i="13"/>
  <c r="K27" i="13"/>
  <c r="J28" i="13"/>
  <c r="K28" i="13"/>
  <c r="J29" i="13"/>
  <c r="K29" i="13"/>
  <c r="J30" i="13"/>
  <c r="K30" i="13"/>
  <c r="J31" i="13"/>
  <c r="K31" i="13"/>
  <c r="J32" i="13"/>
  <c r="K32" i="13"/>
  <c r="J33" i="13"/>
  <c r="K33" i="13"/>
  <c r="Y10" i="19"/>
  <c r="U8" i="19"/>
  <c r="O7" i="19"/>
  <c r="X10" i="19"/>
  <c r="T8" i="19"/>
  <c r="W10" i="19"/>
  <c r="S8" i="19"/>
  <c r="Q7" i="19"/>
  <c r="R8" i="19"/>
  <c r="P7" i="19"/>
  <c r="X7" i="19"/>
  <c r="R10" i="19"/>
  <c r="X11" i="19"/>
  <c r="U10" i="19"/>
  <c r="Q8" i="19"/>
  <c r="T10" i="19"/>
  <c r="P8" i="19"/>
  <c r="Y11" i="19"/>
  <c r="S10" i="19"/>
  <c r="O8" i="19"/>
  <c r="S11" i="19"/>
  <c r="Q10" i="19"/>
  <c r="W7" i="19"/>
  <c r="V11" i="19"/>
  <c r="P10" i="19"/>
  <c r="V7" i="19"/>
  <c r="U11" i="19"/>
  <c r="O10" i="19"/>
  <c r="T11" i="19"/>
  <c r="R10" i="18"/>
  <c r="X11" i="18"/>
  <c r="V10" i="18"/>
  <c r="Y10" i="18"/>
  <c r="W10" i="18"/>
  <c r="X10" i="18"/>
  <c r="Q11" i="18"/>
  <c r="T11" i="18"/>
  <c r="U10" i="18"/>
  <c r="O10" i="18"/>
  <c r="T10" i="18"/>
  <c r="S10" i="18"/>
  <c r="W11" i="18"/>
  <c r="X7" i="18"/>
  <c r="T7" i="18"/>
  <c r="S11" i="18"/>
  <c r="Q10" i="18"/>
  <c r="V11" i="18"/>
  <c r="P10" i="18"/>
  <c r="P11" i="18"/>
  <c r="J24" i="11"/>
  <c r="K24" i="11"/>
  <c r="J25" i="11"/>
  <c r="K25" i="11"/>
  <c r="J28" i="11"/>
  <c r="K28" i="11"/>
  <c r="J21" i="11"/>
  <c r="K21" i="11"/>
  <c r="J30" i="11"/>
  <c r="K30" i="11"/>
  <c r="X11" i="17"/>
  <c r="U10" i="17"/>
  <c r="Q8" i="17"/>
  <c r="R11" i="17"/>
  <c r="X8" i="17"/>
  <c r="Y11" i="17"/>
  <c r="O8" i="17"/>
  <c r="T8" i="17"/>
  <c r="O10" i="17"/>
  <c r="P11" i="17"/>
  <c r="P7" i="17"/>
  <c r="R10" i="17"/>
  <c r="S11" i="17"/>
  <c r="Q10" i="17"/>
  <c r="W7" i="17"/>
  <c r="X10" i="17"/>
  <c r="P8" i="17"/>
  <c r="Q11" i="17"/>
  <c r="U7" i="17"/>
  <c r="R7" i="17"/>
  <c r="S8" i="17"/>
  <c r="R8" i="17"/>
  <c r="X7" i="17"/>
  <c r="T7" i="17"/>
  <c r="O11" i="17"/>
  <c r="Y8" i="17"/>
  <c r="S7" i="17"/>
  <c r="T10" i="17"/>
  <c r="V7" i="17"/>
  <c r="S10" i="17"/>
  <c r="U11" i="17"/>
  <c r="W11" i="17"/>
  <c r="T11" i="17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P7" i="16"/>
  <c r="Q8" i="16"/>
  <c r="Y7" i="16"/>
  <c r="X8" i="16"/>
  <c r="V8" i="16"/>
  <c r="W7" i="16"/>
  <c r="W8" i="16"/>
  <c r="U7" i="16"/>
  <c r="P8" i="16"/>
  <c r="X11" i="16"/>
  <c r="V10" i="16"/>
  <c r="R10" i="16"/>
  <c r="Y8" i="16"/>
  <c r="S7" i="16"/>
  <c r="S8" i="16"/>
  <c r="Q7" i="16"/>
  <c r="R7" i="16"/>
  <c r="T7" i="16"/>
  <c r="V7" i="16"/>
  <c r="R8" i="16"/>
  <c r="T8" i="16"/>
  <c r="R11" i="15"/>
  <c r="Y11" i="15"/>
  <c r="V10" i="15"/>
  <c r="U10" i="15"/>
  <c r="W10" i="15"/>
  <c r="X10" i="15"/>
  <c r="U11" i="15"/>
  <c r="X11" i="15"/>
  <c r="X7" i="15"/>
  <c r="Y10" i="15"/>
  <c r="S11" i="15"/>
  <c r="Q10" i="15"/>
  <c r="O10" i="15"/>
  <c r="T10" i="15"/>
  <c r="Q11" i="15"/>
  <c r="T11" i="15"/>
  <c r="W11" i="15"/>
  <c r="J29" i="8"/>
  <c r="K29" i="8"/>
  <c r="J31" i="8"/>
  <c r="K31" i="8"/>
  <c r="J33" i="8"/>
  <c r="K33" i="8"/>
  <c r="K49" i="18"/>
  <c r="J19" i="11"/>
  <c r="K19" i="11"/>
  <c r="K49" i="16"/>
  <c r="K49" i="15"/>
  <c r="J24" i="13"/>
  <c r="K24" i="13"/>
  <c r="J25" i="13"/>
  <c r="K25" i="13"/>
  <c r="J7" i="13"/>
  <c r="K7" i="13"/>
  <c r="J8" i="13"/>
  <c r="K8" i="13"/>
  <c r="J9" i="13"/>
  <c r="K9" i="13"/>
  <c r="J10" i="13"/>
  <c r="K10" i="13"/>
  <c r="J11" i="13"/>
  <c r="K11" i="13"/>
  <c r="J12" i="13"/>
  <c r="K12" i="13"/>
  <c r="J13" i="13"/>
  <c r="K13" i="13"/>
  <c r="J14" i="13"/>
  <c r="K14" i="13"/>
  <c r="J15" i="13"/>
  <c r="K15" i="13"/>
  <c r="J16" i="13"/>
  <c r="K16" i="13"/>
  <c r="J17" i="13"/>
  <c r="K17" i="13"/>
  <c r="J18" i="13"/>
  <c r="K18" i="13"/>
  <c r="J19" i="13"/>
  <c r="K19" i="13"/>
  <c r="J20" i="13"/>
  <c r="K20" i="13"/>
  <c r="J21" i="13"/>
  <c r="K21" i="13"/>
  <c r="J22" i="13"/>
  <c r="K22" i="13"/>
  <c r="J23" i="13"/>
  <c r="K23" i="13"/>
  <c r="K47" i="13"/>
  <c r="K48" i="13"/>
  <c r="J19" i="12"/>
  <c r="K19" i="12"/>
  <c r="J20" i="12"/>
  <c r="K20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K47" i="12"/>
  <c r="K48" i="12"/>
  <c r="J7" i="11"/>
  <c r="K7" i="11"/>
  <c r="J15" i="11"/>
  <c r="K15" i="11"/>
  <c r="J13" i="11"/>
  <c r="K13" i="11"/>
  <c r="J9" i="11"/>
  <c r="K9" i="11"/>
  <c r="J14" i="11"/>
  <c r="K14" i="11"/>
  <c r="J16" i="11"/>
  <c r="K16" i="11"/>
  <c r="J17" i="11"/>
  <c r="K17" i="11"/>
  <c r="J10" i="11"/>
  <c r="K10" i="11"/>
  <c r="J11" i="11"/>
  <c r="K11" i="11"/>
  <c r="J18" i="11"/>
  <c r="K18" i="11"/>
  <c r="J26" i="11"/>
  <c r="K26" i="11"/>
  <c r="J12" i="11"/>
  <c r="K12" i="11"/>
  <c r="J20" i="11"/>
  <c r="K20" i="11"/>
  <c r="J8" i="11"/>
  <c r="K8" i="11"/>
  <c r="K47" i="11"/>
  <c r="K48" i="11"/>
  <c r="F7" i="10"/>
  <c r="K47" i="10"/>
  <c r="H7" i="10"/>
  <c r="H10" i="10"/>
  <c r="H14" i="10"/>
  <c r="H18" i="10"/>
  <c r="H22" i="10"/>
  <c r="H26" i="10"/>
  <c r="G7" i="10"/>
  <c r="I10" i="10"/>
  <c r="I11" i="10"/>
  <c r="J11" i="10"/>
  <c r="K11" i="10"/>
  <c r="I14" i="10"/>
  <c r="I15" i="10"/>
  <c r="J15" i="10"/>
  <c r="K15" i="10"/>
  <c r="I18" i="10"/>
  <c r="I19" i="10"/>
  <c r="J19" i="10"/>
  <c r="K19" i="10"/>
  <c r="I22" i="10"/>
  <c r="I23" i="10"/>
  <c r="J23" i="10"/>
  <c r="K23" i="10"/>
  <c r="I26" i="10"/>
  <c r="I27" i="10"/>
  <c r="J27" i="10"/>
  <c r="K27" i="10"/>
  <c r="J8" i="10"/>
  <c r="K8" i="10"/>
  <c r="J9" i="10"/>
  <c r="K9" i="10"/>
  <c r="J12" i="10"/>
  <c r="K12" i="10"/>
  <c r="J13" i="10"/>
  <c r="K13" i="10"/>
  <c r="J16" i="10"/>
  <c r="K16" i="10"/>
  <c r="J17" i="10"/>
  <c r="K17" i="10"/>
  <c r="J20" i="10"/>
  <c r="K20" i="10"/>
  <c r="J21" i="10"/>
  <c r="K21" i="10"/>
  <c r="J24" i="10"/>
  <c r="K24" i="10"/>
  <c r="J25" i="10"/>
  <c r="K25" i="10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K48" i="9"/>
  <c r="K47" i="9"/>
  <c r="K47" i="8"/>
  <c r="J7" i="8"/>
  <c r="K7" i="8"/>
  <c r="J8" i="8"/>
  <c r="K8" i="8"/>
  <c r="J9" i="8"/>
  <c r="K9" i="8"/>
  <c r="J11" i="8"/>
  <c r="K11" i="8"/>
  <c r="J13" i="8"/>
  <c r="K13" i="8"/>
  <c r="J15" i="8"/>
  <c r="K15" i="8"/>
  <c r="J17" i="8"/>
  <c r="K17" i="8"/>
  <c r="J18" i="8"/>
  <c r="K18" i="8"/>
  <c r="J19" i="8"/>
  <c r="K19" i="8"/>
  <c r="J20" i="8"/>
  <c r="K20" i="8"/>
  <c r="J21" i="8"/>
  <c r="K21" i="8"/>
  <c r="J22" i="8"/>
  <c r="K22" i="8"/>
  <c r="J23" i="8"/>
  <c r="K23" i="8"/>
  <c r="J24" i="8"/>
  <c r="K24" i="8"/>
  <c r="J25" i="8"/>
  <c r="K25" i="8"/>
  <c r="J26" i="8"/>
  <c r="K26" i="8"/>
  <c r="J27" i="8"/>
  <c r="K27" i="8"/>
  <c r="J28" i="8"/>
  <c r="K28" i="8"/>
  <c r="K48" i="8"/>
  <c r="J10" i="8"/>
  <c r="K10" i="8"/>
  <c r="J12" i="8"/>
  <c r="K12" i="8"/>
  <c r="J14" i="8"/>
  <c r="K14" i="8"/>
  <c r="J16" i="8"/>
  <c r="K16" i="8"/>
  <c r="P13" i="20"/>
  <c r="O11" i="11"/>
  <c r="C11" i="24"/>
  <c r="K48" i="10"/>
  <c r="K49" i="10"/>
  <c r="Z7" i="15"/>
  <c r="P13" i="15"/>
  <c r="O13" i="16"/>
  <c r="S11" i="12"/>
  <c r="G11" i="25"/>
  <c r="V13" i="20"/>
  <c r="W13" i="19"/>
  <c r="O13" i="18"/>
  <c r="U13" i="18"/>
  <c r="T7" i="11"/>
  <c r="H7" i="24"/>
  <c r="Q11" i="11"/>
  <c r="E11" i="24"/>
  <c r="V13" i="17"/>
  <c r="P13" i="16"/>
  <c r="W10" i="9"/>
  <c r="K10" i="22"/>
  <c r="Z8" i="15"/>
  <c r="O13" i="15"/>
  <c r="S13" i="15"/>
  <c r="V13" i="15"/>
  <c r="W13" i="15"/>
  <c r="Y13" i="15"/>
  <c r="Q13" i="20"/>
  <c r="R13" i="19"/>
  <c r="P7" i="12"/>
  <c r="D7" i="25"/>
  <c r="V11" i="12"/>
  <c r="J11" i="25"/>
  <c r="Y13" i="18"/>
  <c r="Z11" i="16"/>
  <c r="U11" i="9"/>
  <c r="I11" i="22"/>
  <c r="Q7" i="9"/>
  <c r="E7" i="22"/>
  <c r="R13" i="15"/>
  <c r="U13" i="20"/>
  <c r="O13" i="20"/>
  <c r="X13" i="20"/>
  <c r="Z8" i="20"/>
  <c r="S13" i="20"/>
  <c r="W11" i="13"/>
  <c r="K11" i="26"/>
  <c r="X11" i="13"/>
  <c r="L11" i="26"/>
  <c r="Y13" i="19"/>
  <c r="Z10" i="19"/>
  <c r="U13" i="19"/>
  <c r="V13" i="18"/>
  <c r="R13" i="18"/>
  <c r="Q13" i="18"/>
  <c r="U11" i="12"/>
  <c r="I11" i="25"/>
  <c r="Z8" i="18"/>
  <c r="S13" i="18"/>
  <c r="Z10" i="18"/>
  <c r="W13" i="18"/>
  <c r="Z11" i="18"/>
  <c r="R10" i="11"/>
  <c r="F10" i="24"/>
  <c r="R7" i="11"/>
  <c r="F7" i="24"/>
  <c r="X11" i="11"/>
  <c r="L11" i="24"/>
  <c r="Y13" i="17"/>
  <c r="O13" i="17"/>
  <c r="J18" i="10"/>
  <c r="K18" i="10"/>
  <c r="T13" i="16"/>
  <c r="V13" i="16"/>
  <c r="U10" i="9"/>
  <c r="I10" i="22"/>
  <c r="P11" i="9"/>
  <c r="D11" i="22"/>
  <c r="W8" i="9"/>
  <c r="K8" i="22"/>
  <c r="V11" i="9"/>
  <c r="J11" i="22"/>
  <c r="X11" i="9"/>
  <c r="L11" i="22"/>
  <c r="Q13" i="15"/>
  <c r="Q13" i="16"/>
  <c r="X13" i="16"/>
  <c r="Z10" i="16"/>
  <c r="W13" i="16"/>
  <c r="P13" i="17"/>
  <c r="R13" i="17"/>
  <c r="Z7" i="18"/>
  <c r="X13" i="18"/>
  <c r="Z11" i="20"/>
  <c r="R13" i="20"/>
  <c r="Z10" i="20"/>
  <c r="T13" i="20"/>
  <c r="Z8" i="19"/>
  <c r="X13" i="19"/>
  <c r="S13" i="19"/>
  <c r="Z7" i="19"/>
  <c r="O13" i="19"/>
  <c r="V13" i="19"/>
  <c r="Z11" i="19"/>
  <c r="T13" i="17"/>
  <c r="Z7" i="17"/>
  <c r="U13" i="17"/>
  <c r="W13" i="17"/>
  <c r="Z11" i="17"/>
  <c r="Q13" i="17"/>
  <c r="Z10" i="17"/>
  <c r="Z7" i="16"/>
  <c r="Z8" i="16"/>
  <c r="R13" i="16"/>
  <c r="U13" i="15"/>
  <c r="Z10" i="15"/>
  <c r="X13" i="15"/>
  <c r="Z7" i="20"/>
  <c r="W13" i="20"/>
  <c r="Y13" i="20"/>
  <c r="W10" i="13"/>
  <c r="K10" i="26"/>
  <c r="O11" i="13"/>
  <c r="C11" i="26"/>
  <c r="Y7" i="13"/>
  <c r="M7" i="26"/>
  <c r="P13" i="19"/>
  <c r="T13" i="19"/>
  <c r="Q13" i="19"/>
  <c r="T7" i="12"/>
  <c r="H7" i="25"/>
  <c r="T11" i="12"/>
  <c r="H11" i="25"/>
  <c r="Y7" i="12"/>
  <c r="M7" i="25"/>
  <c r="R10" i="12"/>
  <c r="F10" i="25"/>
  <c r="P13" i="18"/>
  <c r="T13" i="18"/>
  <c r="U10" i="11"/>
  <c r="I10" i="24"/>
  <c r="R11" i="11"/>
  <c r="F11" i="24"/>
  <c r="U11" i="11"/>
  <c r="I11" i="24"/>
  <c r="W11" i="11"/>
  <c r="K11" i="24"/>
  <c r="S7" i="11"/>
  <c r="G7" i="24"/>
  <c r="T10" i="11"/>
  <c r="H10" i="24"/>
  <c r="S8" i="11"/>
  <c r="G8" i="24"/>
  <c r="S13" i="17"/>
  <c r="Z8" i="17"/>
  <c r="X13" i="17"/>
  <c r="S13" i="16"/>
  <c r="U13" i="16"/>
  <c r="Y13" i="16"/>
  <c r="Q10" i="9"/>
  <c r="E10" i="22"/>
  <c r="Q11" i="9"/>
  <c r="E11" i="22"/>
  <c r="R11" i="9"/>
  <c r="F11" i="22"/>
  <c r="O10" i="9"/>
  <c r="C10" i="22"/>
  <c r="T11" i="9"/>
  <c r="H11" i="22"/>
  <c r="W11" i="9"/>
  <c r="K11" i="22"/>
  <c r="R8" i="9"/>
  <c r="F8" i="22"/>
  <c r="S11" i="9"/>
  <c r="G11" i="22"/>
  <c r="X10" i="9"/>
  <c r="L10" i="22"/>
  <c r="O11" i="9"/>
  <c r="C11" i="22"/>
  <c r="Y8" i="9"/>
  <c r="M8" i="22"/>
  <c r="P10" i="9"/>
  <c r="D10" i="22"/>
  <c r="S10" i="9"/>
  <c r="G10" i="22"/>
  <c r="T10" i="9"/>
  <c r="H10" i="22"/>
  <c r="Y7" i="9"/>
  <c r="M7" i="22"/>
  <c r="V10" i="9"/>
  <c r="J10" i="22"/>
  <c r="Y10" i="9"/>
  <c r="M10" i="22"/>
  <c r="S7" i="9"/>
  <c r="G7" i="22"/>
  <c r="Y11" i="9"/>
  <c r="M11" i="22"/>
  <c r="R10" i="9"/>
  <c r="F10" i="22"/>
  <c r="Z11" i="15"/>
  <c r="T13" i="15"/>
  <c r="J22" i="10"/>
  <c r="K22" i="10"/>
  <c r="T11" i="13"/>
  <c r="H11" i="26"/>
  <c r="X7" i="13"/>
  <c r="L7" i="26"/>
  <c r="Y8" i="13"/>
  <c r="M8" i="26"/>
  <c r="X10" i="13"/>
  <c r="L10" i="26"/>
  <c r="U7" i="13"/>
  <c r="I7" i="26"/>
  <c r="S7" i="13"/>
  <c r="G7" i="26"/>
  <c r="T8" i="13"/>
  <c r="H8" i="26"/>
  <c r="R8" i="13"/>
  <c r="F8" i="26"/>
  <c r="Y10" i="13"/>
  <c r="M10" i="26"/>
  <c r="U8" i="13"/>
  <c r="I8" i="26"/>
  <c r="O7" i="13"/>
  <c r="C7" i="26"/>
  <c r="T10" i="13"/>
  <c r="H10" i="26"/>
  <c r="P8" i="13"/>
  <c r="D8" i="26"/>
  <c r="Y11" i="13"/>
  <c r="M11" i="26"/>
  <c r="O10" i="13"/>
  <c r="C10" i="26"/>
  <c r="Q7" i="13"/>
  <c r="E7" i="26"/>
  <c r="T7" i="13"/>
  <c r="H7" i="26"/>
  <c r="V10" i="13"/>
  <c r="J10" i="26"/>
  <c r="U10" i="13"/>
  <c r="I10" i="26"/>
  <c r="Q8" i="13"/>
  <c r="E8" i="26"/>
  <c r="S10" i="13"/>
  <c r="G10" i="26"/>
  <c r="V11" i="13"/>
  <c r="J11" i="26"/>
  <c r="P10" i="13"/>
  <c r="D10" i="26"/>
  <c r="V7" i="13"/>
  <c r="J7" i="26"/>
  <c r="U11" i="13"/>
  <c r="I11" i="26"/>
  <c r="S8" i="13"/>
  <c r="G8" i="26"/>
  <c r="P7" i="13"/>
  <c r="D7" i="26"/>
  <c r="V8" i="13"/>
  <c r="J8" i="26"/>
  <c r="P11" i="13"/>
  <c r="D11" i="26"/>
  <c r="S11" i="13"/>
  <c r="G11" i="26"/>
  <c r="Q10" i="13"/>
  <c r="E10" i="26"/>
  <c r="W7" i="13"/>
  <c r="K7" i="26"/>
  <c r="W8" i="13"/>
  <c r="K8" i="26"/>
  <c r="R11" i="13"/>
  <c r="F11" i="26"/>
  <c r="X8" i="13"/>
  <c r="L8" i="26"/>
  <c r="R7" i="13"/>
  <c r="F7" i="26"/>
  <c r="Q11" i="13"/>
  <c r="E11" i="26"/>
  <c r="O8" i="13"/>
  <c r="C8" i="26"/>
  <c r="R10" i="13"/>
  <c r="F10" i="26"/>
  <c r="K49" i="13"/>
  <c r="P10" i="12"/>
  <c r="D10" i="25"/>
  <c r="O10" i="12"/>
  <c r="C10" i="25"/>
  <c r="W7" i="12"/>
  <c r="K7" i="25"/>
  <c r="V7" i="12"/>
  <c r="J7" i="25"/>
  <c r="Q10" i="12"/>
  <c r="E10" i="25"/>
  <c r="V8" i="12"/>
  <c r="J8" i="25"/>
  <c r="O11" i="12"/>
  <c r="C11" i="25"/>
  <c r="Y8" i="12"/>
  <c r="M8" i="25"/>
  <c r="S7" i="12"/>
  <c r="G7" i="25"/>
  <c r="R11" i="12"/>
  <c r="F11" i="25"/>
  <c r="X8" i="12"/>
  <c r="L8" i="25"/>
  <c r="R7" i="12"/>
  <c r="F7" i="25"/>
  <c r="Q11" i="12"/>
  <c r="E11" i="25"/>
  <c r="W8" i="12"/>
  <c r="K8" i="25"/>
  <c r="U7" i="12"/>
  <c r="I7" i="25"/>
  <c r="P11" i="12"/>
  <c r="D11" i="25"/>
  <c r="R8" i="12"/>
  <c r="F8" i="25"/>
  <c r="W11" i="12"/>
  <c r="K11" i="25"/>
  <c r="Y10" i="12"/>
  <c r="M10" i="25"/>
  <c r="U8" i="12"/>
  <c r="I8" i="25"/>
  <c r="O7" i="12"/>
  <c r="C7" i="25"/>
  <c r="X10" i="12"/>
  <c r="L10" i="25"/>
  <c r="T8" i="12"/>
  <c r="H8" i="25"/>
  <c r="K49" i="12"/>
  <c r="W10" i="12"/>
  <c r="K10" i="25"/>
  <c r="S8" i="12"/>
  <c r="G8" i="25"/>
  <c r="Q7" i="12"/>
  <c r="E7" i="25"/>
  <c r="V10" i="12"/>
  <c r="J10" i="25"/>
  <c r="X7" i="12"/>
  <c r="L7" i="25"/>
  <c r="U10" i="12"/>
  <c r="I10" i="25"/>
  <c r="Q8" i="12"/>
  <c r="E8" i="25"/>
  <c r="T10" i="12"/>
  <c r="H10" i="25"/>
  <c r="P8" i="12"/>
  <c r="D8" i="25"/>
  <c r="Y11" i="12"/>
  <c r="M11" i="25"/>
  <c r="S10" i="12"/>
  <c r="G10" i="25"/>
  <c r="O8" i="12"/>
  <c r="C8" i="25"/>
  <c r="X11" i="12"/>
  <c r="L11" i="25"/>
  <c r="P11" i="11"/>
  <c r="D11" i="24"/>
  <c r="Y11" i="11"/>
  <c r="M11" i="24"/>
  <c r="U8" i="11"/>
  <c r="I8" i="24"/>
  <c r="W8" i="11"/>
  <c r="K8" i="24"/>
  <c r="U7" i="11"/>
  <c r="I7" i="24"/>
  <c r="Y8" i="11"/>
  <c r="M8" i="24"/>
  <c r="X8" i="11"/>
  <c r="L8" i="24"/>
  <c r="Q8" i="11"/>
  <c r="E8" i="24"/>
  <c r="P8" i="11"/>
  <c r="D8" i="24"/>
  <c r="O8" i="11"/>
  <c r="C8" i="24"/>
  <c r="R8" i="11"/>
  <c r="F8" i="24"/>
  <c r="Y10" i="11"/>
  <c r="M10" i="24"/>
  <c r="O7" i="11"/>
  <c r="C7" i="24"/>
  <c r="Y7" i="11"/>
  <c r="M7" i="24"/>
  <c r="X10" i="11"/>
  <c r="L10" i="24"/>
  <c r="T8" i="11"/>
  <c r="H8" i="24"/>
  <c r="Q7" i="11"/>
  <c r="E7" i="24"/>
  <c r="V10" i="11"/>
  <c r="J10" i="24"/>
  <c r="X7" i="11"/>
  <c r="L7" i="24"/>
  <c r="O10" i="11"/>
  <c r="C10" i="24"/>
  <c r="S11" i="11"/>
  <c r="G11" i="24"/>
  <c r="Q10" i="11"/>
  <c r="E10" i="24"/>
  <c r="W7" i="11"/>
  <c r="K7" i="24"/>
  <c r="S10" i="11"/>
  <c r="G10" i="24"/>
  <c r="V11" i="11"/>
  <c r="J11" i="24"/>
  <c r="P10" i="11"/>
  <c r="D10" i="24"/>
  <c r="V7" i="11"/>
  <c r="J7" i="24"/>
  <c r="W10" i="11"/>
  <c r="K10" i="24"/>
  <c r="T11" i="11"/>
  <c r="H11" i="24"/>
  <c r="V8" i="11"/>
  <c r="J8" i="24"/>
  <c r="P7" i="11"/>
  <c r="D7" i="24"/>
  <c r="K49" i="11"/>
  <c r="J26" i="10"/>
  <c r="K26" i="10"/>
  <c r="J10" i="10"/>
  <c r="K10" i="10"/>
  <c r="J14" i="10"/>
  <c r="K14" i="10"/>
  <c r="J7" i="10"/>
  <c r="K7" i="10"/>
  <c r="U8" i="9"/>
  <c r="I8" i="22"/>
  <c r="O7" i="9"/>
  <c r="C7" i="22"/>
  <c r="T8" i="9"/>
  <c r="H8" i="22"/>
  <c r="O8" i="9"/>
  <c r="C8" i="22"/>
  <c r="P7" i="9"/>
  <c r="D7" i="22"/>
  <c r="Q8" i="9"/>
  <c r="E8" i="22"/>
  <c r="P8" i="9"/>
  <c r="D8" i="22"/>
  <c r="U7" i="9"/>
  <c r="I7" i="22"/>
  <c r="X8" i="9"/>
  <c r="L8" i="22"/>
  <c r="T7" i="9"/>
  <c r="H7" i="22"/>
  <c r="X7" i="9"/>
  <c r="L7" i="22"/>
  <c r="W7" i="9"/>
  <c r="K7" i="22"/>
  <c r="R7" i="9"/>
  <c r="F7" i="22"/>
  <c r="V7" i="9"/>
  <c r="J7" i="22"/>
  <c r="S8" i="9"/>
  <c r="G8" i="22"/>
  <c r="V8" i="9"/>
  <c r="J8" i="22"/>
  <c r="K49" i="9"/>
  <c r="K49" i="8"/>
  <c r="X8" i="8"/>
  <c r="L8" i="21"/>
  <c r="X10" i="8"/>
  <c r="L10" i="21"/>
  <c r="S10" i="8"/>
  <c r="G10" i="21"/>
  <c r="Y10" i="8"/>
  <c r="M10" i="21"/>
  <c r="R11" i="8"/>
  <c r="F11" i="21"/>
  <c r="O10" i="8"/>
  <c r="C10" i="21"/>
  <c r="Q11" i="8"/>
  <c r="E11" i="21"/>
  <c r="Y11" i="8"/>
  <c r="M11" i="21"/>
  <c r="X11" i="8"/>
  <c r="L11" i="21"/>
  <c r="O11" i="8"/>
  <c r="C11" i="21"/>
  <c r="R7" i="8"/>
  <c r="F7" i="21"/>
  <c r="P11" i="8"/>
  <c r="D11" i="21"/>
  <c r="R10" i="8"/>
  <c r="F10" i="21"/>
  <c r="W7" i="8"/>
  <c r="K7" i="21"/>
  <c r="U11" i="8"/>
  <c r="I11" i="21"/>
  <c r="P10" i="8"/>
  <c r="D10" i="21"/>
  <c r="V11" i="8"/>
  <c r="J11" i="21"/>
  <c r="T10" i="8"/>
  <c r="H10" i="21"/>
  <c r="U10" i="8"/>
  <c r="I10" i="21"/>
  <c r="U7" i="8"/>
  <c r="I7" i="21"/>
  <c r="Y8" i="8"/>
  <c r="M8" i="21"/>
  <c r="W11" i="8"/>
  <c r="K11" i="21"/>
  <c r="X7" i="8"/>
  <c r="L7" i="21"/>
  <c r="Y7" i="8"/>
  <c r="M7" i="21"/>
  <c r="T11" i="8"/>
  <c r="H11" i="21"/>
  <c r="V10" i="8"/>
  <c r="J10" i="21"/>
  <c r="Q10" i="8"/>
  <c r="E10" i="21"/>
  <c r="S11" i="8"/>
  <c r="G11" i="21"/>
  <c r="W10" i="8"/>
  <c r="K10" i="21"/>
  <c r="T7" i="8"/>
  <c r="H7" i="21"/>
  <c r="P8" i="8"/>
  <c r="D8" i="21"/>
  <c r="O8" i="8"/>
  <c r="C8" i="21"/>
  <c r="R8" i="8"/>
  <c r="F8" i="21"/>
  <c r="O7" i="8"/>
  <c r="C7" i="21"/>
  <c r="Q8" i="8"/>
  <c r="E8" i="21"/>
  <c r="U8" i="8"/>
  <c r="I8" i="21"/>
  <c r="P7" i="8"/>
  <c r="D7" i="21"/>
  <c r="V8" i="8"/>
  <c r="J8" i="21"/>
  <c r="W8" i="8"/>
  <c r="K8" i="21"/>
  <c r="V7" i="8"/>
  <c r="J7" i="21"/>
  <c r="S7" i="8"/>
  <c r="G7" i="21"/>
  <c r="Q7" i="8"/>
  <c r="E7" i="21"/>
  <c r="T8" i="8"/>
  <c r="H8" i="21"/>
  <c r="S8" i="8"/>
  <c r="G8" i="21"/>
  <c r="U7" i="10"/>
  <c r="I7" i="23"/>
  <c r="S8" i="10"/>
  <c r="G8" i="23"/>
  <c r="X7" i="10"/>
  <c r="L7" i="23"/>
  <c r="R8" i="10"/>
  <c r="F8" i="23"/>
  <c r="R13" i="11"/>
  <c r="F13" i="24"/>
  <c r="Y7" i="10"/>
  <c r="M7" i="23"/>
  <c r="Q8" i="10"/>
  <c r="Y8" i="10"/>
  <c r="M8" i="23"/>
  <c r="V7" i="10"/>
  <c r="J7" i="23"/>
  <c r="Q7" i="10"/>
  <c r="W8" i="10"/>
  <c r="V8" i="10"/>
  <c r="T7" i="10"/>
  <c r="X8" i="10"/>
  <c r="L8" i="23"/>
  <c r="U8" i="10"/>
  <c r="I8" i="23"/>
  <c r="O8" i="10"/>
  <c r="W7" i="10"/>
  <c r="S7" i="10"/>
  <c r="P7" i="10"/>
  <c r="T8" i="10"/>
  <c r="O7" i="10"/>
  <c r="C7" i="23"/>
  <c r="R7" i="10"/>
  <c r="P8" i="10"/>
  <c r="Z13" i="19"/>
  <c r="X13" i="11"/>
  <c r="L13" i="24"/>
  <c r="S10" i="10"/>
  <c r="Z13" i="16"/>
  <c r="Z13" i="15"/>
  <c r="Y13" i="9"/>
  <c r="M13" i="22"/>
  <c r="Z11" i="9"/>
  <c r="N11" i="22"/>
  <c r="W13" i="9"/>
  <c r="K13" i="22"/>
  <c r="Z13" i="17"/>
  <c r="Y13" i="11"/>
  <c r="M13" i="24"/>
  <c r="U13" i="11"/>
  <c r="I13" i="24"/>
  <c r="Z13" i="18"/>
  <c r="Q13" i="13"/>
  <c r="E13" i="26"/>
  <c r="U13" i="13"/>
  <c r="I13" i="26"/>
  <c r="Z11" i="13"/>
  <c r="N11" i="26"/>
  <c r="X13" i="13"/>
  <c r="L13" i="26"/>
  <c r="P13" i="13"/>
  <c r="D13" i="26"/>
  <c r="Y13" i="13"/>
  <c r="M13" i="26"/>
  <c r="Z13" i="20"/>
  <c r="W13" i="12"/>
  <c r="K13" i="25"/>
  <c r="T13" i="12"/>
  <c r="H13" i="25"/>
  <c r="T13" i="11"/>
  <c r="H13" i="24"/>
  <c r="S13" i="11"/>
  <c r="G13" i="24"/>
  <c r="X13" i="9"/>
  <c r="L13" i="22"/>
  <c r="Z10" i="9"/>
  <c r="N10" i="22"/>
  <c r="Q13" i="9"/>
  <c r="E13" i="22"/>
  <c r="X13" i="12"/>
  <c r="L13" i="25"/>
  <c r="Q13" i="12"/>
  <c r="E13" i="25"/>
  <c r="T10" i="10"/>
  <c r="X11" i="10"/>
  <c r="T11" i="10"/>
  <c r="H11" i="23"/>
  <c r="R13" i="9"/>
  <c r="F13" i="22"/>
  <c r="S13" i="9"/>
  <c r="G13" i="22"/>
  <c r="P13" i="9"/>
  <c r="D13" i="22"/>
  <c r="T13" i="9"/>
  <c r="H13" i="22"/>
  <c r="R13" i="13"/>
  <c r="F13" i="26"/>
  <c r="W13" i="13"/>
  <c r="K13" i="26"/>
  <c r="T13" i="13"/>
  <c r="H13" i="26"/>
  <c r="P13" i="12"/>
  <c r="D13" i="25"/>
  <c r="V13" i="12"/>
  <c r="J13" i="25"/>
  <c r="S13" i="12"/>
  <c r="G13" i="25"/>
  <c r="O13" i="11"/>
  <c r="C13" i="24"/>
  <c r="Z11" i="11"/>
  <c r="N11" i="24"/>
  <c r="O13" i="9"/>
  <c r="C13" i="22"/>
  <c r="Z8" i="9"/>
  <c r="N8" i="22"/>
  <c r="Z7" i="9"/>
  <c r="N7" i="22"/>
  <c r="V13" i="13"/>
  <c r="J13" i="26"/>
  <c r="Z10" i="13"/>
  <c r="N10" i="26"/>
  <c r="Z8" i="13"/>
  <c r="N8" i="26"/>
  <c r="S13" i="13"/>
  <c r="G13" i="26"/>
  <c r="Z7" i="13"/>
  <c r="N7" i="26"/>
  <c r="O13" i="13"/>
  <c r="C13" i="26"/>
  <c r="Y13" i="12"/>
  <c r="M13" i="25"/>
  <c r="U13" i="12"/>
  <c r="I13" i="25"/>
  <c r="Z8" i="12"/>
  <c r="N8" i="25"/>
  <c r="R13" i="12"/>
  <c r="F13" i="25"/>
  <c r="O13" i="12"/>
  <c r="C13" i="25"/>
  <c r="Z7" i="12"/>
  <c r="N7" i="25"/>
  <c r="Z10" i="12"/>
  <c r="N10" i="25"/>
  <c r="Z11" i="12"/>
  <c r="N11" i="25"/>
  <c r="Z7" i="11"/>
  <c r="N7" i="24"/>
  <c r="V13" i="11"/>
  <c r="J13" i="24"/>
  <c r="W13" i="11"/>
  <c r="K13" i="24"/>
  <c r="Z8" i="11"/>
  <c r="N8" i="24"/>
  <c r="Z10" i="11"/>
  <c r="N10" i="24"/>
  <c r="Q13" i="11"/>
  <c r="E13" i="24"/>
  <c r="P13" i="11"/>
  <c r="D13" i="24"/>
  <c r="Q10" i="10"/>
  <c r="P10" i="10"/>
  <c r="W10" i="10"/>
  <c r="U11" i="10"/>
  <c r="P11" i="10"/>
  <c r="D11" i="23"/>
  <c r="V11" i="10"/>
  <c r="O11" i="10"/>
  <c r="W11" i="10"/>
  <c r="K11" i="23"/>
  <c r="Y11" i="10"/>
  <c r="V10" i="10"/>
  <c r="J10" i="23"/>
  <c r="Q11" i="10"/>
  <c r="R10" i="10"/>
  <c r="O10" i="10"/>
  <c r="S11" i="10"/>
  <c r="G11" i="23"/>
  <c r="R11" i="10"/>
  <c r="U10" i="10"/>
  <c r="I10" i="23"/>
  <c r="Y10" i="10"/>
  <c r="M10" i="23"/>
  <c r="X10" i="10"/>
  <c r="L10" i="23"/>
  <c r="V13" i="9"/>
  <c r="J13" i="22"/>
  <c r="U13" i="9"/>
  <c r="I13" i="22"/>
  <c r="Y13" i="8"/>
  <c r="M13" i="21"/>
  <c r="Q13" i="8"/>
  <c r="E13" i="21"/>
  <c r="V13" i="8"/>
  <c r="J13" i="21"/>
  <c r="T13" i="8"/>
  <c r="H13" i="21"/>
  <c r="W13" i="8"/>
  <c r="K13" i="21"/>
  <c r="Z10" i="8"/>
  <c r="N10" i="21"/>
  <c r="X13" i="8"/>
  <c r="L13" i="21"/>
  <c r="U13" i="8"/>
  <c r="I13" i="21"/>
  <c r="Z11" i="8"/>
  <c r="N11" i="21"/>
  <c r="S13" i="8"/>
  <c r="G13" i="21"/>
  <c r="P13" i="8"/>
  <c r="D13" i="21"/>
  <c r="Z8" i="8"/>
  <c r="N8" i="21"/>
  <c r="O13" i="8"/>
  <c r="C13" i="21"/>
  <c r="Z7" i="8"/>
  <c r="N7" i="21"/>
  <c r="R13" i="8"/>
  <c r="F13" i="21"/>
  <c r="I7" i="14"/>
  <c r="J7" i="14"/>
  <c r="G8" i="14"/>
  <c r="L7" i="14"/>
  <c r="I8" i="14"/>
  <c r="L8" i="14"/>
  <c r="M8" i="14"/>
  <c r="I11" i="14"/>
  <c r="I11" i="23"/>
  <c r="H7" i="14"/>
  <c r="H7" i="23"/>
  <c r="M11" i="14"/>
  <c r="M11" i="23"/>
  <c r="E11" i="14"/>
  <c r="E11" i="23"/>
  <c r="H10" i="14"/>
  <c r="H10" i="23"/>
  <c r="D7" i="14"/>
  <c r="D7" i="23"/>
  <c r="E8" i="14"/>
  <c r="E8" i="23"/>
  <c r="F11" i="14"/>
  <c r="F11" i="23"/>
  <c r="K10" i="14"/>
  <c r="K10" i="23"/>
  <c r="G7" i="14"/>
  <c r="G7" i="23"/>
  <c r="J8" i="14"/>
  <c r="J8" i="23"/>
  <c r="D10" i="14"/>
  <c r="D10" i="23"/>
  <c r="D8" i="14"/>
  <c r="D8" i="23"/>
  <c r="K7" i="14"/>
  <c r="K7" i="23"/>
  <c r="K8" i="14"/>
  <c r="K8" i="23"/>
  <c r="C10" i="14"/>
  <c r="C10" i="23"/>
  <c r="C11" i="14"/>
  <c r="C11" i="23"/>
  <c r="E10" i="14"/>
  <c r="E10" i="23"/>
  <c r="F7" i="14"/>
  <c r="F7" i="23"/>
  <c r="C8" i="14"/>
  <c r="C8" i="23"/>
  <c r="E7" i="14"/>
  <c r="E7" i="23"/>
  <c r="F10" i="14"/>
  <c r="F10" i="23"/>
  <c r="J11" i="14"/>
  <c r="J11" i="23"/>
  <c r="M7" i="14"/>
  <c r="F8" i="14"/>
  <c r="G10" i="14"/>
  <c r="G10" i="23"/>
  <c r="L11" i="14"/>
  <c r="L11" i="23"/>
  <c r="H8" i="14"/>
  <c r="H8" i="23"/>
  <c r="X13" i="10"/>
  <c r="L13" i="23"/>
  <c r="U13" i="10"/>
  <c r="I13" i="23"/>
  <c r="Z8" i="10"/>
  <c r="Z7" i="10"/>
  <c r="S13" i="10"/>
  <c r="G13" i="23"/>
  <c r="C7" i="14"/>
  <c r="Y13" i="10"/>
  <c r="M13" i="23"/>
  <c r="T13" i="10"/>
  <c r="H13" i="23"/>
  <c r="V13" i="10"/>
  <c r="J13" i="23"/>
  <c r="I10" i="14"/>
  <c r="Z13" i="11"/>
  <c r="N13" i="24"/>
  <c r="P13" i="10"/>
  <c r="D13" i="23"/>
  <c r="M10" i="14"/>
  <c r="H11" i="14"/>
  <c r="L10" i="14"/>
  <c r="J10" i="14"/>
  <c r="Z13" i="9"/>
  <c r="N13" i="22"/>
  <c r="O13" i="10"/>
  <c r="C13" i="23"/>
  <c r="R13" i="10"/>
  <c r="F13" i="23"/>
  <c r="W13" i="10"/>
  <c r="K13" i="23"/>
  <c r="Z13" i="12"/>
  <c r="N13" i="25"/>
  <c r="Q13" i="10"/>
  <c r="E13" i="23"/>
  <c r="K11" i="14"/>
  <c r="D11" i="14"/>
  <c r="G11" i="14"/>
  <c r="Z13" i="13"/>
  <c r="N13" i="26"/>
  <c r="Z10" i="10"/>
  <c r="Z11" i="10"/>
  <c r="Z13" i="8"/>
  <c r="N13" i="21"/>
  <c r="G13" i="14"/>
  <c r="L13" i="14"/>
  <c r="E13" i="14"/>
  <c r="I13" i="14"/>
  <c r="F13" i="14"/>
  <c r="D13" i="14"/>
  <c r="M13" i="14"/>
  <c r="N8" i="14"/>
  <c r="N8" i="23"/>
  <c r="K13" i="14"/>
  <c r="C13" i="14"/>
  <c r="N11" i="14"/>
  <c r="N11" i="23"/>
  <c r="N10" i="14"/>
  <c r="N10" i="23"/>
  <c r="J13" i="14"/>
  <c r="N7" i="14"/>
  <c r="N7" i="23"/>
  <c r="H13" i="14"/>
  <c r="Z13" i="10"/>
  <c r="N13" i="23"/>
  <c r="N13" i="14"/>
</calcChain>
</file>

<file path=xl/sharedStrings.xml><?xml version="1.0" encoding="utf-8"?>
<sst xmlns="http://schemas.openxmlformats.org/spreadsheetml/2006/main" count="1289" uniqueCount="57">
  <si>
    <t>Nº</t>
  </si>
  <si>
    <t>NOMBRE  DEL  ALUMNO</t>
  </si>
  <si>
    <t>GRADO  6º      GRUPO     " A "</t>
  </si>
  <si>
    <t>CURP</t>
  </si>
  <si>
    <t>SEXO</t>
  </si>
  <si>
    <t>HOMBRES</t>
  </si>
  <si>
    <t>MUJERES</t>
  </si>
  <si>
    <t>DIA</t>
  </si>
  <si>
    <t>MES</t>
  </si>
  <si>
    <t>AÑO</t>
  </si>
  <si>
    <t>EDAD</t>
  </si>
  <si>
    <t>FECHA_NAC</t>
  </si>
  <si>
    <t>TOTAL</t>
  </si>
  <si>
    <t>NUEVO ING.</t>
  </si>
  <si>
    <t>REPETIDORES</t>
  </si>
  <si>
    <t>SUBTOTAL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</si>
  <si>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</si>
  <si>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</si>
  <si>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</si>
  <si>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</si>
  <si>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</si>
  <si>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</si>
  <si>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</si>
  <si>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</si>
  <si>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</si>
  <si>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</si>
  <si>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</si>
  <si>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REPETIDOR</t>
  </si>
  <si>
    <t>NO</t>
  </si>
  <si>
    <t>AL</t>
  </si>
  <si>
    <t xml:space="preserve">EDADES </t>
  </si>
  <si>
    <t>ESPACIOS A LLENAR POR EL DOCENTE, EL RESTO ES AUTOMATIZADO.</t>
  </si>
  <si>
    <t>CICLO  ESCOLAR  2020-2021</t>
  </si>
  <si>
    <t>GRADO  1º      GRUPO     " A "</t>
  </si>
  <si>
    <t xml:space="preserve">ESTADÍSTICA DE GRUPO   </t>
  </si>
  <si>
    <t>GRADO  2º      GRUPO     " A "</t>
  </si>
  <si>
    <t>GRADO  3º      GRUPO     " A "</t>
  </si>
  <si>
    <t>GRADO  4º      GRUPO     " A "</t>
  </si>
  <si>
    <t>GRADO  5º      GRUPO     " A "</t>
  </si>
  <si>
    <t>GRADO  1º      GRUPO     " B "</t>
  </si>
  <si>
    <t>GRADO  2º      GRUPO     " B "</t>
  </si>
  <si>
    <t>GRADO  4º      GRUPO     " B "</t>
  </si>
  <si>
    <t>GRADO  3º      GRUPO     " B "</t>
  </si>
  <si>
    <t>GRADO  5º      GRUPO     " B "</t>
  </si>
  <si>
    <t>ESTADÍSTICA DE ESCUELA</t>
  </si>
  <si>
    <t>GRADO  6º      GRUPO     " B "</t>
  </si>
  <si>
    <t xml:space="preserve">ESTADÍSTICA DE GRUPO  </t>
  </si>
  <si>
    <t xml:space="preserve">ESTADÍSTICA DE GRUPO    </t>
  </si>
  <si>
    <t xml:space="preserve">GRADO  1º      </t>
  </si>
  <si>
    <t xml:space="preserve">GRADO  2º      </t>
  </si>
  <si>
    <t xml:space="preserve">GRADO  3º     </t>
  </si>
  <si>
    <t xml:space="preserve">GRADO  4º      </t>
  </si>
  <si>
    <t xml:space="preserve">GRADO  5º      </t>
  </si>
  <si>
    <t xml:space="preserve">GRADO  6º      </t>
  </si>
  <si>
    <t>ESCUELA PRIMARIA</t>
  </si>
  <si>
    <t>2026-2027</t>
  </si>
  <si>
    <t>CICLO  ESCOLAR 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</si>
</sst>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ont="1"/>
    <xf numFmtId="0" fontId="1" fillId="2" borderId="1" xfId="0" applyFont="1" applyFill="1" applyBorder="1"/>
    <xf numFmtId="0" fontId="0" fillId="0" borderId="2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/>
    <xf numFmtId="0" fontId="7" fillId="2" borderId="3" xfId="0" applyFont="1" applyFill="1" applyBorder="1" applyAlignment="1"/>
    <xf numFmtId="0" fontId="8" fillId="2" borderId="0" xfId="0" applyFont="1" applyFill="1" applyBorder="1"/>
    <xf numFmtId="0" fontId="8" fillId="2" borderId="0" xfId="0" applyFont="1" applyFill="1"/>
    <xf numFmtId="0" fontId="6" fillId="2" borderId="0" xfId="0" applyFont="1" applyFill="1"/>
    <xf numFmtId="14" fontId="1" fillId="2" borderId="0" xfId="0" applyNumberFormat="1" applyFont="1" applyFill="1"/>
    <xf numFmtId="0" fontId="0" fillId="2" borderId="0" xfId="0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Border="1" applyAlignment="1"/>
    <xf numFmtId="0" fontId="0" fillId="2" borderId="0" xfId="0" applyFont="1" applyFill="1" applyBorder="1" applyAlignment="1"/>
    <xf numFmtId="0" fontId="0" fillId="2" borderId="0" xfId="0" applyFont="1" applyFill="1" applyBorder="1"/>
    <xf numFmtId="0" fontId="2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2" fillId="5" borderId="4" xfId="0" applyFont="1" applyFill="1" applyBorder="1"/>
    <xf numFmtId="0" fontId="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5" borderId="6" xfId="0" applyFont="1" applyFill="1" applyBorder="1"/>
    <xf numFmtId="0" fontId="4" fillId="5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 indent="1"/>
    </xf>
    <xf numFmtId="0" fontId="2" fillId="0" borderId="2" xfId="0" applyFont="1" applyFill="1" applyBorder="1"/>
    <xf numFmtId="0" fontId="4" fillId="0" borderId="2" xfId="0" applyFont="1" applyFill="1" applyBorder="1"/>
    <xf numFmtId="0" fontId="2" fillId="2" borderId="0" xfId="0" applyFont="1" applyFill="1"/>
    <xf numFmtId="0" fontId="2" fillId="0" borderId="0" xfId="0" applyFont="1"/>
    <xf numFmtId="0" fontId="4" fillId="2" borderId="0" xfId="0" applyFont="1" applyFill="1"/>
    <xf numFmtId="0" fontId="1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4" fillId="0" borderId="0" xfId="0" applyFont="1"/>
    <xf numFmtId="0" fontId="3" fillId="2" borderId="1" xfId="0" applyFont="1" applyFill="1" applyBorder="1"/>
    <xf numFmtId="0" fontId="4" fillId="5" borderId="6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1" fillId="2" borderId="1" xfId="0" applyFont="1" applyFill="1" applyBorder="1"/>
    <xf numFmtId="0" fontId="10" fillId="5" borderId="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38"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 A'!$N$7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'1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A'!$O$7:$Y$7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6-4CF9-8B1C-64FFED29007B}"/>
            </c:ext>
          </c:extLst>
        </c:ser>
        <c:ser>
          <c:idx val="1"/>
          <c:order val="1"/>
          <c:tx>
            <c:strRef>
              <c:f>'1 A'!$N$8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'1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A'!$O$8:$Y$8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6-4CF9-8B1C-64FFED290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 A'!$N$10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'1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A'!$O$10:$Y$10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F-4411-B517-89148C350A50}"/>
            </c:ext>
          </c:extLst>
        </c:ser>
        <c:ser>
          <c:idx val="1"/>
          <c:order val="1"/>
          <c:tx>
            <c:strRef>
              <c:f>'1 A'!$N$11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'1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A'!$O$11:$Y$11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F-4411-B517-89148C35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 B'!$N$7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'1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B'!$O$7:$Y$7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E-4355-8376-906FD1D69D78}"/>
            </c:ext>
          </c:extLst>
        </c:ser>
        <c:ser>
          <c:idx val="1"/>
          <c:order val="1"/>
          <c:tx>
            <c:strRef>
              <c:f>'1 B'!$N$8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'1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B'!$O$8:$Y$8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7E-4355-8376-906FD1D6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 B'!$N$10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'1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B'!$O$10:$Y$10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1-4088-95CE-EEF83B874923}"/>
            </c:ext>
          </c:extLst>
        </c:ser>
        <c:ser>
          <c:idx val="1"/>
          <c:order val="1"/>
          <c:tx>
            <c:strRef>
              <c:f>'1 B'!$N$11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'1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'1 B'!$O$11:$Y$11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1-4088-95CE-EEF83B874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1ro'!$B$7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1ro'!$C$6:$M$6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1ro'!$C$7:$M$7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2-449A-AA32-225B5F7ECC21}"/>
            </c:ext>
          </c:extLst>
        </c:ser>
        <c:ser>
          <c:idx val="1"/>
          <c:order val="1"/>
          <c:tx>
            <c:strRef>
              <c:f>'Concen 1ro'!$B$8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1ro'!$C$6:$M$6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1ro'!$C$8:$M$8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2-449A-AA32-225B5F7EC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1ro'!$B$10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1ro'!$C$9:$M$9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1ro'!$C$10:$M$10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B-465C-BA14-7C92B6DC4A17}"/>
            </c:ext>
          </c:extLst>
        </c:ser>
        <c:ser>
          <c:idx val="1"/>
          <c:order val="1"/>
          <c:tx>
            <c:strRef>
              <c:f>'Concen 1ro'!$B$11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1ro'!$C$9:$M$9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1ro'!$C$11:$M$11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7B-465C-BA14-7C92B6DC4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 A'!$N$7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'2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A'!$O$7:$Y$7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1-4C61-B79E-7812483D16A5}"/>
            </c:ext>
          </c:extLst>
        </c:ser>
        <c:ser>
          <c:idx val="1"/>
          <c:order val="1"/>
          <c:tx>
            <c:strRef>
              <c:f>'2 A'!$N$8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A'!$O$8:$Y$8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1-4C61-B79E-7812483D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 A'!$N$10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'2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A'!$O$10:$Y$10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6-4EE7-B1BF-CB4572044952}"/>
            </c:ext>
          </c:extLst>
        </c:ser>
        <c:ser>
          <c:idx val="1"/>
          <c:order val="1"/>
          <c:tx>
            <c:strRef>
              <c:f>'2 A'!$N$11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A'!$O$11:$Y$11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6-4EE7-B1BF-CB4572044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 B'!$N$7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'2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B'!$O$7:$Y$7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C-4EB8-8147-C81930912C8E}"/>
            </c:ext>
          </c:extLst>
        </c:ser>
        <c:ser>
          <c:idx val="1"/>
          <c:order val="1"/>
          <c:tx>
            <c:strRef>
              <c:f>'2 B'!$N$8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B'!$O$8:$Y$8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3C-4EB8-8147-C8193091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 B'!$N$10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'2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B'!$O$10:$Y$10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9-4746-A6BA-33F13D476EAC}"/>
            </c:ext>
          </c:extLst>
        </c:ser>
        <c:ser>
          <c:idx val="1"/>
          <c:order val="1"/>
          <c:tx>
            <c:strRef>
              <c:f>'2 B'!$N$11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'2 B'!$O$11:$Y$11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9-4746-A6BA-33F13D476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2do.'!$B$7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2do.'!$C$6:$M$6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2do.'!$C$7:$M$7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E-45EE-A791-93B11EDDE321}"/>
            </c:ext>
          </c:extLst>
        </c:ser>
        <c:ser>
          <c:idx val="1"/>
          <c:order val="1"/>
          <c:tx>
            <c:strRef>
              <c:f>'Concen 2do.'!$B$8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2do.'!$C$6:$M$6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2do.'!$C$8:$M$8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E-45EE-A791-93B11EDD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2do.'!$B$10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2do.'!$C$9:$M$9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2do.'!$C$10:$M$10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9-429A-B8BB-5FB2A1F77903}"/>
            </c:ext>
          </c:extLst>
        </c:ser>
        <c:ser>
          <c:idx val="1"/>
          <c:order val="1"/>
          <c:tx>
            <c:strRef>
              <c:f>'Concen 2do.'!$B$11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2do.'!$C$9:$M$9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2do.'!$C$11:$M$11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9-429A-B8BB-5FB2A1F7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A 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'3 A 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A 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4-45C7-8A96-8EB54C685601}"/>
            </c:ext>
          </c:extLst>
        </c:ser>
        <c:ser>
          <c:idx val="1"/>
          <c:order val="1"/>
          <c:tx>
            <c:strRef>
              <c:f>'3 A 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'3 A 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A 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4-45C7-8A96-8EB54C68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A 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'3 A 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A 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7-48D9-A0DE-E03A1C3D9BBC}"/>
            </c:ext>
          </c:extLst>
        </c:ser>
        <c:ser>
          <c:idx val="1"/>
          <c:order val="1"/>
          <c:tx>
            <c:strRef>
              <c:f>'3 A 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'3 A 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A 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7-48D9-A0DE-E03A1C3D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B'!$N$7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'3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B'!$O$7:$Y$7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8-4222-80AF-46C1834F0AEC}"/>
            </c:ext>
          </c:extLst>
        </c:ser>
        <c:ser>
          <c:idx val="1"/>
          <c:order val="1"/>
          <c:tx>
            <c:strRef>
              <c:f>'3 B'!$N$8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'3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B'!$O$8:$Y$8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8-4222-80AF-46C1834F0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B'!$N$10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'3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B'!$O$10:$Y$10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A-4225-90B4-86FBD416E13A}"/>
            </c:ext>
          </c:extLst>
        </c:ser>
        <c:ser>
          <c:idx val="1"/>
          <c:order val="1"/>
          <c:tx>
            <c:strRef>
              <c:f>'3 B'!$N$11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'3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'3 B'!$O$11:$Y$11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A-4225-90B4-86FBD416E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3ro.'!$B$7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3ro.'!$C$6:$M$6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3ro.'!$C$7:$M$7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B-4721-86F9-606C7BC82502}"/>
            </c:ext>
          </c:extLst>
        </c:ser>
        <c:ser>
          <c:idx val="1"/>
          <c:order val="1"/>
          <c:tx>
            <c:strRef>
              <c:f>'Concen 3ro.'!$B$8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3ro.'!$C$6:$M$6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3ro.'!$C$8:$M$8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B-4721-86F9-606C7BC8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3ro.'!$B$10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3ro.'!$C$9:$M$9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3ro.'!$C$10:$M$10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B-472D-8196-B00DCDFF5DC4}"/>
            </c:ext>
          </c:extLst>
        </c:ser>
        <c:ser>
          <c:idx val="1"/>
          <c:order val="1"/>
          <c:tx>
            <c:strRef>
              <c:f>'Concen 3ro.'!$B$11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3ro.'!$C$9:$M$9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3ro.'!$C$11:$M$11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B-472D-8196-B00DCDFF5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 A'!$N$7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'4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A'!$O$7:$Y$7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D-4452-9837-BBBAB16EC6C2}"/>
            </c:ext>
          </c:extLst>
        </c:ser>
        <c:ser>
          <c:idx val="1"/>
          <c:order val="1"/>
          <c:tx>
            <c:strRef>
              <c:f>'4 A'!$N$8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'4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A'!$O$8:$Y$8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D-4452-9837-BBBAB16E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 A'!$N$10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'4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A'!$O$10:$Y$10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B-44BC-BC30-A0092C6F637D}"/>
            </c:ext>
          </c:extLst>
        </c:ser>
        <c:ser>
          <c:idx val="1"/>
          <c:order val="1"/>
          <c:tx>
            <c:strRef>
              <c:f>'4 A'!$N$11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'4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A'!$O$11:$Y$11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B-44BC-BC30-A0092C6F6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 B'!$N$7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'4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B'!$O$7:$Y$7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C-48B8-BF80-E5DBD2F9EAA3}"/>
            </c:ext>
          </c:extLst>
        </c:ser>
        <c:ser>
          <c:idx val="1"/>
          <c:order val="1"/>
          <c:tx>
            <c:strRef>
              <c:f>'4 B'!$N$8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'4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B'!$O$8:$Y$8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C-48B8-BF80-E5DBD2F9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 B'!$N$10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'4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B'!$O$10:$Y$10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0-46C9-B1DD-F310D9843084}"/>
            </c:ext>
          </c:extLst>
        </c:ser>
        <c:ser>
          <c:idx val="1"/>
          <c:order val="1"/>
          <c:tx>
            <c:strRef>
              <c:f>'4 B'!$N$11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'4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'4 B'!$O$11:$Y$11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0-46C9-B1DD-F310D9843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4to.'!$B$7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4to.'!$C$6:$M$6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4to.'!$C$7:$M$7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B-46DE-BE1E-01927CC9E149}"/>
            </c:ext>
          </c:extLst>
        </c:ser>
        <c:ser>
          <c:idx val="1"/>
          <c:order val="1"/>
          <c:tx>
            <c:strRef>
              <c:f>'Concen 4to.'!$B$8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4to.'!$C$6:$M$6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4to.'!$C$8:$M$8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B-46DE-BE1E-01927CC9E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4to.'!$B$10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4to.'!$C$9:$M$9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4to.'!$C$10:$M$10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6-4D15-81AE-A7B734329AB1}"/>
            </c:ext>
          </c:extLst>
        </c:ser>
        <c:ser>
          <c:idx val="1"/>
          <c:order val="1"/>
          <c:tx>
            <c:strRef>
              <c:f>'Concen 4to.'!$B$11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4to.'!$C$9:$M$9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4to.'!$C$11:$M$11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6-4D15-81AE-A7B734329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 A'!$N$7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'5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A'!$O$7:$Y$7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7-4F7B-B9AD-86751058FD55}"/>
            </c:ext>
          </c:extLst>
        </c:ser>
        <c:ser>
          <c:idx val="1"/>
          <c:order val="1"/>
          <c:tx>
            <c:strRef>
              <c:f>'5 A'!$N$8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'5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A'!$O$8:$Y$8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7-4F7B-B9AD-86751058F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 A'!$N$10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'5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A'!$O$10:$Y$10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D-4C2E-B885-EDFB1E683137}"/>
            </c:ext>
          </c:extLst>
        </c:ser>
        <c:ser>
          <c:idx val="1"/>
          <c:order val="1"/>
          <c:tx>
            <c:strRef>
              <c:f>'5 A'!$N$11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'5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A'!$O$11:$Y$11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D-4C2E-B885-EDFB1E68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 B'!$N$7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'5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B'!$O$7:$Y$7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C-41CE-9039-4637BFC064F4}"/>
            </c:ext>
          </c:extLst>
        </c:ser>
        <c:ser>
          <c:idx val="1"/>
          <c:order val="1"/>
          <c:tx>
            <c:strRef>
              <c:f>'5 B'!$N$8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'5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B'!$O$8:$Y$8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C-41CE-9039-4637BFC06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 B'!$N$10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'5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B'!$O$10:$Y$10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7-4955-9DF7-6BF3CA8D3E32}"/>
            </c:ext>
          </c:extLst>
        </c:ser>
        <c:ser>
          <c:idx val="1"/>
          <c:order val="1"/>
          <c:tx>
            <c:strRef>
              <c:f>'5 B'!$N$11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'5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'5 B'!$O$11:$Y$11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7-4955-9DF7-6BF3CA8D3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5to.'!$B$7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5to.'!$C$6:$M$6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5to.'!$C$7:$M$7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3-4615-BCBA-261918D159B9}"/>
            </c:ext>
          </c:extLst>
        </c:ser>
        <c:ser>
          <c:idx val="1"/>
          <c:order val="1"/>
          <c:tx>
            <c:strRef>
              <c:f>'Concen 5to.'!$B$8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5to.'!$C$6:$M$6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5to.'!$C$8:$M$8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3-4615-BCBA-261918D1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5to.'!$B$10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5to.'!$C$9:$M$9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5to.'!$C$10:$M$10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A-4878-A905-05BB003AC5F5}"/>
            </c:ext>
          </c:extLst>
        </c:ser>
        <c:ser>
          <c:idx val="1"/>
          <c:order val="1"/>
          <c:tx>
            <c:strRef>
              <c:f>'Concen 5to.'!$B$11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5to.'!$C$9:$M$9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5to.'!$C$11:$M$11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A-4878-A905-05BB003AC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 A'!$N$7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'6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A'!$O$7:$Y$7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1-40E5-89D5-4CFCF75DE544}"/>
            </c:ext>
          </c:extLst>
        </c:ser>
        <c:ser>
          <c:idx val="1"/>
          <c:order val="1"/>
          <c:tx>
            <c:strRef>
              <c:f>'6 A'!$N$8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'6 A'!$O$6:$Y$6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A'!$O$8:$Y$8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1-40E5-89D5-4CFCF75DE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 A'!$N$10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'6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A'!$O$10:$Y$10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8-4436-BEBD-D24CD0940DDB}"/>
            </c:ext>
          </c:extLst>
        </c:ser>
        <c:ser>
          <c:idx val="1"/>
          <c:order val="1"/>
          <c:tx>
            <c:strRef>
              <c:f>'6 A'!$N$11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'6 A'!$O$9:$Y$9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A'!$O$11:$Y$11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8-4436-BEBD-D24CD0940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 B'!$N$7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'6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B'!$O$7:$Y$7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8-4171-9E85-A3EDF608B1C8}"/>
            </c:ext>
          </c:extLst>
        </c:ser>
        <c:ser>
          <c:idx val="1"/>
          <c:order val="1"/>
          <c:tx>
            <c:strRef>
              <c:f>'6 B'!$N$8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'6 B'!$O$6:$Y$6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B'!$O$8:$Y$8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8-4171-9E85-A3EDF608B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 B'!$N$10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'6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B'!$O$10:$Y$10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A-418D-9D37-3DCD20621DD8}"/>
            </c:ext>
          </c:extLst>
        </c:ser>
        <c:ser>
          <c:idx val="1"/>
          <c:order val="1"/>
          <c:tx>
            <c:strRef>
              <c:f>'6 B'!$N$11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'6 B'!$O$9:$Y$9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'6 B'!$O$11:$Y$11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A-418D-9D37-3DCD20621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6to'!$B$7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6to'!$C$6:$M$6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6to'!$C$7:$M$7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F-4491-84FA-0D49874BEF32}"/>
            </c:ext>
          </c:extLst>
        </c:ser>
        <c:ser>
          <c:idx val="1"/>
          <c:order val="1"/>
          <c:tx>
            <c:strRef>
              <c:f>'Concen 6to'!$B$8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6to'!$C$6:$M$6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6to'!$C$8:$M$8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F-4491-84FA-0D49874BE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'Concen 6to'!$B$10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'Concen 6to'!$C$9:$M$9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6to'!$C$10:$M$10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8-4B4A-84D9-AA7E934C21C3}"/>
            </c:ext>
          </c:extLst>
        </c:ser>
        <c:ser>
          <c:idx val="1"/>
          <c:order val="1"/>
          <c:tx>
            <c:strRef>
              <c:f>'Concen 6to'!$B$11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'Concen 6to'!$C$9:$M$9</c:f>
              <c:strCache>
                <c:ptCount val="9"/>
                <c:pt idx="0">
                  <c:v>5 AÑOS</c:v>
                </c:pt>
                <c:pt idx="1">
                  <c:v>8 AÑOS</c:v>
                </c:pt>
                <c:pt idx="2">
                  <c:v>9 AÑOS</c:v>
                </c:pt>
                <c:pt idx="3">
                  <c:v>10 AÑOS</c:v>
                </c:pt>
                <c:pt idx="4">
                  <c:v>11 AÑOS</c:v>
                </c:pt>
                <c:pt idx="5">
                  <c:v>12 AÑOS</c:v>
                </c:pt>
                <c:pt idx="6">
                  <c:v>13 AÑOS</c:v>
                </c:pt>
                <c:pt idx="7">
                  <c:v>14 AÑOS</c:v>
                </c:pt>
                <c:pt idx="8">
                  <c:v>15 AÑOS</c:v>
                </c:pt>
              </c:strCache>
            </c:strRef>
          </c:cat>
          <c:val>
            <c:numRef>
              <c:f>'Concen 6to'!$C$11:$M$11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8-4B4A-84D9-AA7E934C2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HOMBRES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Concentrado!$B$7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Concentrado!$C$6:$M$6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Concentrado!$C$7:$M$7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8-4DDB-A81D-3BBB4726BF8E}"/>
            </c:ext>
          </c:extLst>
        </c:ser>
        <c:ser>
          <c:idx val="1"/>
          <c:order val="1"/>
          <c:tx>
            <c:strRef>
              <c:f>Concentrado!$B$8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Concentrado!$C$6:$M$6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Concentrado!$C$8:$M$8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8-4DDB-A81D-3BBB4726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50303"/>
        <c:axId val="1"/>
        <c:axId val="0"/>
      </c:bar3DChart>
      <c:catAx>
        <c:axId val="14392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503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MUJERES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Concentrado!$B$10</c:f>
              <c:strCache>
                <c:ptCount val="1"/>
                <c:pt idx="0">
                  <c:v>NUEVO ING.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Concentrado!$C$9:$M$9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Concentrado!$C$10:$M$10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8-4BCD-9DC3-8283776BC019}"/>
            </c:ext>
          </c:extLst>
        </c:ser>
        <c:ser>
          <c:idx val="1"/>
          <c:order val="1"/>
          <c:tx>
            <c:strRef>
              <c:f>Concentrado!$B$11</c:f>
              <c:strCache>
                <c:ptCount val="1"/>
                <c:pt idx="0">
                  <c:v>REPETIDORES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Concentrado!$C$9:$M$9</c:f>
              <c:strCache>
                <c:ptCount val="11"/>
                <c:pt idx="0">
                  <c:v>5 AÑOS</c:v>
                </c:pt>
                <c:pt idx="1">
                  <c:v>6 AÑOS</c:v>
                </c:pt>
                <c:pt idx="2">
                  <c:v>7 AÑOS</c:v>
                </c:pt>
                <c:pt idx="3">
                  <c:v>8 AÑOS</c:v>
                </c:pt>
                <c:pt idx="4">
                  <c:v>9 AÑOS</c:v>
                </c:pt>
                <c:pt idx="5">
                  <c:v>10 AÑOS</c:v>
                </c:pt>
                <c:pt idx="6">
                  <c:v>11 AÑOS</c:v>
                </c:pt>
                <c:pt idx="7">
                  <c:v>12 AÑOS</c:v>
                </c:pt>
                <c:pt idx="8">
                  <c:v>13 AÑOS</c:v>
                </c:pt>
                <c:pt idx="9">
                  <c:v>14 AÑOS</c:v>
                </c:pt>
                <c:pt idx="10">
                  <c:v>15 AÑOS</c:v>
                </c:pt>
              </c:strCache>
            </c:strRef>
          </c:cat>
          <c:val>
            <c:numRef>
              <c:f>Concentrado!$C$11:$M$11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8-4BCD-9DC3-8283776BC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249503"/>
        <c:axId val="1"/>
        <c:axId val="0"/>
      </c:bar3DChart>
      <c:catAx>
        <c:axId val="14392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924950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 /><Relationship Id="rId1" Type="http://schemas.openxmlformats.org/officeDocument/2006/relationships/chart" Target="../charts/chart3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 /><Relationship Id="rId1" Type="http://schemas.openxmlformats.org/officeDocument/2006/relationships/chart" Target="../charts/chart5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 /><Relationship Id="rId1" Type="http://schemas.openxmlformats.org/officeDocument/2006/relationships/chart" Target="../charts/chart7.xml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 /><Relationship Id="rId1" Type="http://schemas.openxmlformats.org/officeDocument/2006/relationships/chart" Target="../charts/chart9.xml" 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 /><Relationship Id="rId1" Type="http://schemas.openxmlformats.org/officeDocument/2006/relationships/chart" Target="../charts/chart11.xml" 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 /><Relationship Id="rId1" Type="http://schemas.openxmlformats.org/officeDocument/2006/relationships/chart" Target="../charts/chart13.xml" 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 /><Relationship Id="rId1" Type="http://schemas.openxmlformats.org/officeDocument/2006/relationships/chart" Target="../charts/chart15.xml" 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 /><Relationship Id="rId1" Type="http://schemas.openxmlformats.org/officeDocument/2006/relationships/chart" Target="../charts/chart17.xml" 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 /><Relationship Id="rId1" Type="http://schemas.openxmlformats.org/officeDocument/2006/relationships/chart" Target="../charts/chart19.xml" 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 /><Relationship Id="rId1" Type="http://schemas.openxmlformats.org/officeDocument/2006/relationships/chart" Target="../charts/chart21.xml" 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 /><Relationship Id="rId1" Type="http://schemas.openxmlformats.org/officeDocument/2006/relationships/chart" Target="../charts/chart23.xml" 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 /><Relationship Id="rId1" Type="http://schemas.openxmlformats.org/officeDocument/2006/relationships/chart" Target="../charts/chart25.xml" 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 /><Relationship Id="rId1" Type="http://schemas.openxmlformats.org/officeDocument/2006/relationships/chart" Target="../charts/chart27.xml" 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 /><Relationship Id="rId1" Type="http://schemas.openxmlformats.org/officeDocument/2006/relationships/chart" Target="../charts/chart29.xml" 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 /><Relationship Id="rId1" Type="http://schemas.openxmlformats.org/officeDocument/2006/relationships/chart" Target="../charts/chart31.xml" 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 /><Relationship Id="rId1" Type="http://schemas.openxmlformats.org/officeDocument/2006/relationships/chart" Target="../charts/chart33.xml" 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 /><Relationship Id="rId1" Type="http://schemas.openxmlformats.org/officeDocument/2006/relationships/chart" Target="../charts/chart35.xml" 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 /><Relationship Id="rId1" Type="http://schemas.openxmlformats.org/officeDocument/2006/relationships/chart" Target="../charts/chart37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1025" name="Gráfico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1026" name="Gráfico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13</xdr:row>
      <xdr:rowOff>200025</xdr:rowOff>
    </xdr:from>
    <xdr:to>
      <xdr:col>24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25</xdr:row>
      <xdr:rowOff>200025</xdr:rowOff>
    </xdr:from>
    <xdr:to>
      <xdr:col>24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200025</xdr:rowOff>
    </xdr:from>
    <xdr:to>
      <xdr:col>12</xdr:col>
      <xdr:colOff>266700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25</xdr:row>
      <xdr:rowOff>200025</xdr:rowOff>
    </xdr:from>
    <xdr:to>
      <xdr:col>12</xdr:col>
      <xdr:colOff>266700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 /><Relationship Id="rId1" Type="http://schemas.openxmlformats.org/officeDocument/2006/relationships/printerSettings" Target="../printerSettings/printerSettings1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3"/>
  <sheetViews>
    <sheetView tabSelected="1"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8" width="5.6484375" style="1" customWidth="1"/>
    <col min="9" max="9" width="5.6484375" style="67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14"/>
      <c r="B1" s="21"/>
      <c r="D1" s="14"/>
      <c r="E1" s="14"/>
      <c r="F1" s="14"/>
      <c r="G1" s="14"/>
      <c r="H1" s="14"/>
      <c r="I1" s="62"/>
      <c r="J1" s="36" t="s">
        <v>46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14"/>
      <c r="B2" s="21"/>
      <c r="C2" s="14"/>
      <c r="D2" s="14"/>
      <c r="E2" s="14"/>
      <c r="F2" s="14"/>
      <c r="G2" s="14"/>
      <c r="H2" s="14"/>
      <c r="I2" s="6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62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32</v>
      </c>
      <c r="G4" s="24" t="s">
        <v>55</v>
      </c>
      <c r="H4" s="14"/>
      <c r="I4" s="6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33</v>
      </c>
      <c r="D5" s="28"/>
      <c r="E5" s="28"/>
      <c r="F5" s="29"/>
      <c r="G5" s="29" t="s">
        <v>30</v>
      </c>
      <c r="H5" s="14"/>
      <c r="I5" s="62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4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3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64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6" si="2">MID(B8,7,2)</f>
        <v/>
      </c>
      <c r="I8" s="64" t="e">
        <f t="shared" ref="I8:I34" si="3">MID(B8,5,2)+2000</f>
        <v>#VALUE!</v>
      </c>
      <c r="J8" s="12" t="e">
        <f t="shared" ref="J8:J34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64" t="e">
        <f t="shared" si="3"/>
        <v>#VALUE!</v>
      </c>
      <c r="J9" s="12" t="e">
        <f t="shared" si="4"/>
        <v>#VALUE!</v>
      </c>
      <c r="K9" s="13" t="e">
        <f t="shared" ref="K9:K34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64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64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64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64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64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64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9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64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9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64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9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64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9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64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9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64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9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64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9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64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9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64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9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64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9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64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9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64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9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64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9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64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9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64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9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64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9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64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9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64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9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64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9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64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9">
        <v>29</v>
      </c>
      <c r="B35" s="56"/>
      <c r="C35" s="57"/>
      <c r="D35" s="51"/>
      <c r="E35" s="11"/>
      <c r="F35" s="2" t="str">
        <f t="shared" ref="F35" si="7">MID(B35,11,1)</f>
        <v/>
      </c>
      <c r="G35" s="2" t="str">
        <f t="shared" ref="G35" si="8">MID(B35,9,2)</f>
        <v/>
      </c>
      <c r="H35" s="2" t="str">
        <f t="shared" ref="H35" si="9">MID(B35,7,2)</f>
        <v/>
      </c>
      <c r="I35" s="64" t="e">
        <f t="shared" ref="I35" si="10">MID(B35,5,2)+2000</f>
        <v>#VALUE!</v>
      </c>
      <c r="J35" s="12" t="e">
        <f t="shared" ref="J35" si="11">DATE(I35,H35,G35)</f>
        <v>#VALUE!</v>
      </c>
      <c r="K35" s="13" t="e">
        <f t="shared" ref="K35" si="12">DATEDIF(J35,$J$5,"Y")</f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9">
        <v>30</v>
      </c>
      <c r="B36" s="56"/>
      <c r="C36" s="57"/>
      <c r="D36" s="51"/>
      <c r="E36" s="11"/>
      <c r="F36" s="2" t="str">
        <f t="shared" ref="F36:F41" si="13">MID(B36,11,1)</f>
        <v/>
      </c>
      <c r="G36" s="2" t="str">
        <f t="shared" ref="G36:G41" si="14">MID(B36,9,2)</f>
        <v/>
      </c>
      <c r="H36" s="2" t="str">
        <f t="shared" ref="H36:H41" si="15">MID(B36,7,2)</f>
        <v/>
      </c>
      <c r="I36" s="64" t="e">
        <f t="shared" ref="I36:I41" si="16">MID(B36,5,2)+2000</f>
        <v>#VALUE!</v>
      </c>
      <c r="J36" s="12" t="e">
        <f t="shared" ref="J36:J41" si="17">DATE(I36,H36,G36)</f>
        <v>#VALUE!</v>
      </c>
      <c r="K36" s="13" t="e">
        <f t="shared" ref="K36:K41" si="18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9">
        <v>31</v>
      </c>
      <c r="B37" s="54"/>
      <c r="C37" s="55"/>
      <c r="D37" s="11"/>
      <c r="E37" s="11"/>
      <c r="F37" s="2" t="str">
        <f t="shared" si="13"/>
        <v/>
      </c>
      <c r="G37" s="2" t="str">
        <f t="shared" si="14"/>
        <v/>
      </c>
      <c r="H37" s="2" t="str">
        <f t="shared" si="15"/>
        <v/>
      </c>
      <c r="I37" s="64" t="e">
        <f t="shared" si="16"/>
        <v>#VALUE!</v>
      </c>
      <c r="J37" s="12" t="e">
        <f t="shared" si="17"/>
        <v>#VALUE!</v>
      </c>
      <c r="K37" s="13" t="e">
        <f t="shared" si="18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9">
        <v>32</v>
      </c>
      <c r="B38" s="40"/>
      <c r="C38" s="41"/>
      <c r="D38" s="11"/>
      <c r="E38" s="11"/>
      <c r="F38" s="2" t="str">
        <f t="shared" si="13"/>
        <v/>
      </c>
      <c r="G38" s="2" t="str">
        <f t="shared" si="14"/>
        <v/>
      </c>
      <c r="H38" s="2" t="str">
        <f t="shared" si="15"/>
        <v/>
      </c>
      <c r="I38" s="64" t="e">
        <f t="shared" si="16"/>
        <v>#VALUE!</v>
      </c>
      <c r="J38" s="12" t="e">
        <f t="shared" si="17"/>
        <v>#VALUE!</v>
      </c>
      <c r="K38" s="13" t="e">
        <f t="shared" si="18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9">
        <v>33</v>
      </c>
      <c r="B39" s="40"/>
      <c r="C39" s="41"/>
      <c r="D39" s="11"/>
      <c r="E39" s="11"/>
      <c r="F39" s="2" t="str">
        <f t="shared" si="13"/>
        <v/>
      </c>
      <c r="G39" s="2" t="str">
        <f t="shared" si="14"/>
        <v/>
      </c>
      <c r="H39" s="2" t="str">
        <f t="shared" si="15"/>
        <v/>
      </c>
      <c r="I39" s="64" t="e">
        <f t="shared" si="16"/>
        <v>#VALUE!</v>
      </c>
      <c r="J39" s="12" t="e">
        <f t="shared" si="17"/>
        <v>#VALUE!</v>
      </c>
      <c r="K39" s="13" t="e">
        <f t="shared" si="18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9">
        <v>34</v>
      </c>
      <c r="B40" s="40"/>
      <c r="C40" s="41"/>
      <c r="D40" s="11"/>
      <c r="E40" s="11"/>
      <c r="F40" s="2" t="str">
        <f t="shared" si="13"/>
        <v/>
      </c>
      <c r="G40" s="2" t="str">
        <f t="shared" si="14"/>
        <v/>
      </c>
      <c r="H40" s="2" t="str">
        <f t="shared" si="15"/>
        <v/>
      </c>
      <c r="I40" s="64" t="e">
        <f t="shared" si="16"/>
        <v>#VALUE!</v>
      </c>
      <c r="J40" s="12" t="e">
        <f t="shared" si="17"/>
        <v>#VALUE!</v>
      </c>
      <c r="K40" s="13" t="e">
        <f t="shared" si="18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9">
        <v>35</v>
      </c>
      <c r="B41" s="40"/>
      <c r="C41" s="41"/>
      <c r="D41" s="11"/>
      <c r="E41" s="11"/>
      <c r="F41" s="2" t="str">
        <f t="shared" si="13"/>
        <v/>
      </c>
      <c r="G41" s="2" t="str">
        <f t="shared" si="14"/>
        <v/>
      </c>
      <c r="H41" s="2" t="str">
        <f t="shared" si="15"/>
        <v/>
      </c>
      <c r="I41" s="64" t="e">
        <f t="shared" si="16"/>
        <v>#VALUE!</v>
      </c>
      <c r="J41" s="12" t="e">
        <f t="shared" si="17"/>
        <v>#VALUE!</v>
      </c>
      <c r="K41" s="13" t="e">
        <f t="shared" si="18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9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64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9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64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9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64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9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64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9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64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31"/>
      <c r="B47" s="14"/>
      <c r="C47" s="14"/>
      <c r="D47" s="31"/>
      <c r="E47" s="31"/>
      <c r="F47" s="32"/>
      <c r="G47" s="33"/>
      <c r="H47" s="33"/>
      <c r="I47" s="65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31"/>
      <c r="B48" s="14"/>
      <c r="C48" s="14"/>
      <c r="D48" s="31"/>
      <c r="E48" s="31"/>
      <c r="F48" s="35"/>
      <c r="G48" s="33"/>
      <c r="H48" s="33"/>
      <c r="I48" s="65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31"/>
      <c r="B49" s="37"/>
      <c r="C49" s="38"/>
      <c r="D49" s="31"/>
      <c r="E49" s="31"/>
      <c r="F49" s="35"/>
      <c r="G49" s="33"/>
      <c r="H49" s="33"/>
      <c r="I49" s="65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31"/>
      <c r="B50" s="38"/>
      <c r="C50" s="14"/>
      <c r="D50" s="31"/>
      <c r="E50" s="31"/>
      <c r="F50" s="35"/>
      <c r="G50" s="33"/>
      <c r="H50" s="33"/>
      <c r="I50" s="65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31"/>
      <c r="B51" s="38"/>
      <c r="C51" s="39"/>
      <c r="D51" s="31"/>
      <c r="E51" s="31"/>
      <c r="F51" s="35"/>
      <c r="G51" s="33"/>
      <c r="H51" s="33"/>
      <c r="I51" s="65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31"/>
      <c r="B52" s="39"/>
      <c r="C52" s="31"/>
      <c r="D52" s="31"/>
      <c r="E52" s="31"/>
      <c r="F52" s="35"/>
      <c r="G52" s="33"/>
      <c r="H52" s="33"/>
      <c r="I52" s="65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14"/>
      <c r="B53" s="21"/>
      <c r="C53" s="14"/>
      <c r="D53" s="14"/>
      <c r="E53" s="14"/>
      <c r="F53" s="31"/>
      <c r="G53" s="31"/>
      <c r="H53" s="31"/>
      <c r="I53" s="6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14"/>
      <c r="B54" s="21"/>
      <c r="C54" s="14"/>
      <c r="D54" s="14"/>
      <c r="E54" s="14"/>
      <c r="F54" s="14"/>
      <c r="G54" s="14"/>
      <c r="H54" s="14"/>
      <c r="I54" s="62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14"/>
      <c r="B55" s="21"/>
      <c r="C55" s="14"/>
      <c r="D55" s="14"/>
      <c r="E55" s="14"/>
      <c r="F55" s="14"/>
      <c r="G55" s="14"/>
      <c r="H55" s="14"/>
      <c r="I55" s="62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14"/>
      <c r="B56" s="21"/>
      <c r="C56" s="14"/>
      <c r="D56" s="14"/>
      <c r="E56" s="14"/>
      <c r="F56" s="14"/>
      <c r="G56" s="14"/>
      <c r="H56" s="14"/>
      <c r="I56" s="62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14"/>
      <c r="B57" s="21"/>
      <c r="C57" s="14"/>
      <c r="D57" s="14"/>
      <c r="E57" s="14"/>
      <c r="F57" s="14"/>
      <c r="G57" s="14"/>
      <c r="H57" s="14"/>
      <c r="I57" s="62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14"/>
      <c r="B58" s="21"/>
      <c r="C58" s="14"/>
      <c r="D58" s="14"/>
      <c r="E58" s="14"/>
      <c r="F58" s="14"/>
      <c r="G58" s="14"/>
      <c r="H58" s="14"/>
      <c r="I58" s="62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14"/>
      <c r="B59" s="21"/>
      <c r="C59" s="14"/>
      <c r="D59" s="14"/>
      <c r="E59" s="14"/>
      <c r="F59" s="14"/>
      <c r="G59" s="14"/>
      <c r="H59" s="14"/>
      <c r="I59" s="62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14"/>
      <c r="B60" s="21"/>
      <c r="C60" s="14"/>
      <c r="D60" s="14"/>
      <c r="E60" s="14"/>
      <c r="F60" s="14"/>
      <c r="G60" s="14"/>
      <c r="H60" s="14"/>
      <c r="I60" s="62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14"/>
      <c r="B61" s="21"/>
      <c r="C61" s="14"/>
      <c r="D61" s="14"/>
      <c r="E61" s="14"/>
      <c r="F61" s="14"/>
      <c r="G61" s="14"/>
      <c r="H61" s="14"/>
      <c r="I61" s="62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14"/>
      <c r="B62" s="21"/>
      <c r="C62" s="14"/>
      <c r="D62" s="14"/>
      <c r="E62" s="14"/>
      <c r="F62" s="14"/>
      <c r="G62" s="14"/>
      <c r="H62" s="14"/>
      <c r="I62" s="62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14"/>
      <c r="B63" s="21"/>
      <c r="C63" s="14"/>
      <c r="D63" s="14"/>
      <c r="E63" s="14"/>
      <c r="F63" s="14"/>
      <c r="G63" s="14"/>
      <c r="H63" s="14"/>
      <c r="I63" s="62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0000000}"/>
  <conditionalFormatting sqref="F1:F1048576">
    <cfRule type="cellIs" dxfId="37" priority="1" operator="equal">
      <formula>"H"</formula>
    </cfRule>
    <cfRule type="cellIs" dxfId="36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0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47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39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0" si="2">MID(B8,7,2)</f>
        <v/>
      </c>
      <c r="I8" s="2" t="e">
        <f t="shared" ref="I8:I30" si="3">MID(B8,5,2)+2000</f>
        <v>#VALUE!</v>
      </c>
      <c r="J8" s="12" t="e">
        <f t="shared" ref="J8:J30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0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ref="F31:F34" si="7">MID(B31,11,1)</f>
        <v/>
      </c>
      <c r="G31" s="2" t="str">
        <f t="shared" ref="G31:G34" si="8">MID(B31,9,2)</f>
        <v/>
      </c>
      <c r="H31" s="2" t="str">
        <f t="shared" ref="H31:H34" si="9">MID(B31,7,2)</f>
        <v/>
      </c>
      <c r="I31" s="2" t="e">
        <f t="shared" ref="I31:I34" si="10">MID(B31,5,2)+2000</f>
        <v>#VALUE!</v>
      </c>
      <c r="J31" s="12" t="e">
        <f t="shared" ref="J31:J34" si="11">DATE(I31,H31,G31)</f>
        <v>#VALUE!</v>
      </c>
      <c r="K31" s="13" t="e">
        <f t="shared" ref="K31:K34" si="12">DATEDIF(J31,$J$5,"Y")</f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7"/>
        <v/>
      </c>
      <c r="G32" s="2" t="str">
        <f t="shared" si="8"/>
        <v/>
      </c>
      <c r="H32" s="2" t="str">
        <f t="shared" si="9"/>
        <v/>
      </c>
      <c r="I32" s="2" t="e">
        <f t="shared" si="10"/>
        <v>#VALUE!</v>
      </c>
      <c r="J32" s="12" t="e">
        <f t="shared" si="11"/>
        <v>#VALUE!</v>
      </c>
      <c r="K32" s="13" t="e">
        <f t="shared" si="12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7"/>
        <v/>
      </c>
      <c r="G33" s="2" t="str">
        <f t="shared" si="8"/>
        <v/>
      </c>
      <c r="H33" s="2" t="str">
        <f t="shared" si="9"/>
        <v/>
      </c>
      <c r="I33" s="2" t="e">
        <f t="shared" si="10"/>
        <v>#VALUE!</v>
      </c>
      <c r="J33" s="12" t="e">
        <f t="shared" si="11"/>
        <v>#VALUE!</v>
      </c>
      <c r="K33" s="13" t="e">
        <f t="shared" si="12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7"/>
        <v/>
      </c>
      <c r="G34" s="2" t="str">
        <f t="shared" si="8"/>
        <v/>
      </c>
      <c r="H34" s="2" t="str">
        <f t="shared" si="9"/>
        <v/>
      </c>
      <c r="I34" s="2" t="e">
        <f t="shared" si="10"/>
        <v>#VALUE!</v>
      </c>
      <c r="J34" s="12" t="e">
        <f t="shared" si="11"/>
        <v>#VALUE!</v>
      </c>
      <c r="K34" s="13" t="e">
        <f t="shared" si="12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ref="F35:F41" si="13">MID(B35,11,1)</f>
        <v/>
      </c>
      <c r="G35" s="2" t="str">
        <f t="shared" ref="G35:G41" si="14">MID(B35,9,2)</f>
        <v/>
      </c>
      <c r="H35" s="2" t="str">
        <f t="shared" ref="H35:H41" si="15">MID(B35,7,2)</f>
        <v/>
      </c>
      <c r="I35" s="2" t="e">
        <f t="shared" ref="I35:I41" si="16">MID(B35,5,2)+2000</f>
        <v>#VALUE!</v>
      </c>
      <c r="J35" s="12" t="e">
        <f t="shared" ref="J35:J41" si="17">DATE(I35,H35,G35)</f>
        <v>#VALUE!</v>
      </c>
      <c r="K35" s="13" t="e">
        <f t="shared" ref="K35:K41" si="18">DATEDIF(J35,$J$5,"Y")</f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si="13"/>
        <v/>
      </c>
      <c r="G36" s="2" t="str">
        <f t="shared" si="14"/>
        <v/>
      </c>
      <c r="H36" s="2" t="str">
        <f t="shared" si="15"/>
        <v/>
      </c>
      <c r="I36" s="2" t="e">
        <f t="shared" si="16"/>
        <v>#VALUE!</v>
      </c>
      <c r="J36" s="12" t="e">
        <f t="shared" si="17"/>
        <v>#VALUE!</v>
      </c>
      <c r="K36" s="13" t="e">
        <f t="shared" si="18"/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13"/>
        <v/>
      </c>
      <c r="G37" s="2" t="str">
        <f t="shared" si="14"/>
        <v/>
      </c>
      <c r="H37" s="2" t="str">
        <f t="shared" si="15"/>
        <v/>
      </c>
      <c r="I37" s="2" t="e">
        <f t="shared" si="16"/>
        <v>#VALUE!</v>
      </c>
      <c r="J37" s="12" t="e">
        <f t="shared" si="17"/>
        <v>#VALUE!</v>
      </c>
      <c r="K37" s="13" t="e">
        <f t="shared" si="18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4"/>
      <c r="C38" s="55"/>
      <c r="D38" s="11"/>
      <c r="E38" s="11"/>
      <c r="F38" s="2" t="str">
        <f t="shared" si="13"/>
        <v/>
      </c>
      <c r="G38" s="2" t="str">
        <f t="shared" si="14"/>
        <v/>
      </c>
      <c r="H38" s="2" t="str">
        <f t="shared" si="15"/>
        <v/>
      </c>
      <c r="I38" s="2" t="e">
        <f t="shared" si="16"/>
        <v>#VALUE!</v>
      </c>
      <c r="J38" s="12" t="e">
        <f t="shared" si="17"/>
        <v>#VALUE!</v>
      </c>
      <c r="K38" s="13" t="e">
        <f t="shared" si="18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40"/>
      <c r="C39" s="41"/>
      <c r="D39" s="11"/>
      <c r="E39" s="11"/>
      <c r="F39" s="2" t="str">
        <f t="shared" si="13"/>
        <v/>
      </c>
      <c r="G39" s="2" t="str">
        <f t="shared" si="14"/>
        <v/>
      </c>
      <c r="H39" s="2" t="str">
        <f t="shared" si="15"/>
        <v/>
      </c>
      <c r="I39" s="2" t="e">
        <f t="shared" si="16"/>
        <v>#VALUE!</v>
      </c>
      <c r="J39" s="12" t="e">
        <f t="shared" si="17"/>
        <v>#VALUE!</v>
      </c>
      <c r="K39" s="13" t="e">
        <f t="shared" si="18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13"/>
        <v/>
      </c>
      <c r="G40" s="2" t="str">
        <f t="shared" si="14"/>
        <v/>
      </c>
      <c r="H40" s="2" t="str">
        <f t="shared" si="15"/>
        <v/>
      </c>
      <c r="I40" s="2" t="e">
        <f t="shared" si="16"/>
        <v>#VALUE!</v>
      </c>
      <c r="J40" s="12" t="e">
        <f t="shared" si="17"/>
        <v>#VALUE!</v>
      </c>
      <c r="K40" s="13" t="e">
        <f t="shared" si="18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13"/>
        <v/>
      </c>
      <c r="G41" s="2" t="str">
        <f t="shared" si="14"/>
        <v/>
      </c>
      <c r="H41" s="2" t="str">
        <f t="shared" si="15"/>
        <v/>
      </c>
      <c r="I41" s="2" t="e">
        <f t="shared" si="16"/>
        <v>#VALUE!</v>
      </c>
      <c r="J41" s="12" t="e">
        <f t="shared" si="17"/>
        <v>#VALUE!</v>
      </c>
      <c r="K41" s="13" t="e">
        <f t="shared" si="18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1000000}"/>
  <conditionalFormatting sqref="F1:F1048576">
    <cfRule type="cellIs" dxfId="35" priority="1" operator="equal">
      <formula>"H"</formula>
    </cfRule>
    <cfRule type="cellIs" dxfId="34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1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3"/>
  <sheetViews>
    <sheetView zoomScale="90" zoomScaleNormal="90" workbookViewId="0">
      <selection activeCell="J5" sqref="J5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5.917968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47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14"/>
      <c r="B5" s="14"/>
      <c r="C5" s="27" t="s">
        <v>48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</row>
    <row r="6" spans="1:26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6" ht="19.5" customHeight="1" x14ac:dyDescent="0.2">
      <c r="A7" s="14"/>
      <c r="B7" s="14" t="s">
        <v>13</v>
      </c>
      <c r="C7" s="7">
        <f>('1 A'!O7+'1 B'!O7)</f>
        <v>0</v>
      </c>
      <c r="D7" s="7">
        <f>('1 A'!P7+'1 B'!P7)</f>
        <v>0</v>
      </c>
      <c r="E7" s="7">
        <f>('1 A'!Q7+'1 B'!Q7)</f>
        <v>0</v>
      </c>
      <c r="F7" s="7">
        <f>('1 A'!R7+'1 B'!R7)</f>
        <v>0</v>
      </c>
      <c r="G7" s="7">
        <f>('1 A'!S7+'1 B'!S7)</f>
        <v>0</v>
      </c>
      <c r="H7" s="7">
        <f>('1 A'!T7+'1 B'!T7)</f>
        <v>0</v>
      </c>
      <c r="I7" s="7">
        <f>('1 A'!U7+'1 B'!U7)</f>
        <v>0</v>
      </c>
      <c r="J7" s="7">
        <f>('1 A'!V7+'1 B'!V7)</f>
        <v>0</v>
      </c>
      <c r="K7" s="7">
        <f>('1 A'!W7+'1 B'!W7)</f>
        <v>0</v>
      </c>
      <c r="L7" s="7">
        <f>('1 A'!X7+'1 B'!X7)</f>
        <v>0</v>
      </c>
      <c r="M7" s="7">
        <f>('1 A'!Y7+'1 B'!Y7)</f>
        <v>0</v>
      </c>
      <c r="N7" s="7">
        <f>('1 A'!Z7+'1 B'!Z7)</f>
        <v>0</v>
      </c>
    </row>
    <row r="8" spans="1:26" ht="19.5" customHeight="1" x14ac:dyDescent="0.2">
      <c r="A8" s="16" t="s">
        <v>5</v>
      </c>
      <c r="B8" s="14" t="s">
        <v>14</v>
      </c>
      <c r="C8" s="7">
        <f>('1 A'!O8+'1 B'!O8)</f>
        <v>0</v>
      </c>
      <c r="D8" s="7">
        <f>('1 A'!P8+'1 B'!P8)</f>
        <v>0</v>
      </c>
      <c r="E8" s="7">
        <f>('1 A'!Q8+'1 B'!Q8)</f>
        <v>0</v>
      </c>
      <c r="F8" s="7">
        <f>('1 A'!R8+'1 B'!R8)</f>
        <v>0</v>
      </c>
      <c r="G8" s="7">
        <f>('1 A'!S8+'1 B'!S8)</f>
        <v>0</v>
      </c>
      <c r="H8" s="7">
        <f>('1 A'!T8+'1 B'!T8)</f>
        <v>0</v>
      </c>
      <c r="I8" s="7">
        <f>('1 A'!U8+'1 B'!U8)</f>
        <v>0</v>
      </c>
      <c r="J8" s="7">
        <f>('1 A'!V8+'1 B'!V8)</f>
        <v>0</v>
      </c>
      <c r="K8" s="7">
        <f>('1 A'!W8+'1 B'!W8)</f>
        <v>0</v>
      </c>
      <c r="L8" s="7">
        <f>('1 A'!X8+'1 B'!X8)</f>
        <v>0</v>
      </c>
      <c r="M8" s="7">
        <f>('1 A'!Y8+'1 B'!Y8)</f>
        <v>0</v>
      </c>
      <c r="N8" s="7">
        <f>('1 A'!Z8+'1 B'!Z8)</f>
        <v>0</v>
      </c>
    </row>
    <row r="9" spans="1:26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6" ht="19.5" customHeight="1" x14ac:dyDescent="0.2">
      <c r="A10" s="14"/>
      <c r="B10" s="14" t="s">
        <v>13</v>
      </c>
      <c r="C10" s="7">
        <f>('1 A'!O10+'1 B'!O10)</f>
        <v>0</v>
      </c>
      <c r="D10" s="7">
        <f>('1 A'!P10+'1 B'!P10)</f>
        <v>0</v>
      </c>
      <c r="E10" s="7">
        <f>('1 A'!Q10+'1 B'!Q10)</f>
        <v>0</v>
      </c>
      <c r="F10" s="7">
        <f>('1 A'!R10+'1 B'!R10)</f>
        <v>0</v>
      </c>
      <c r="G10" s="7">
        <f>('1 A'!S10+'1 B'!S10)</f>
        <v>0</v>
      </c>
      <c r="H10" s="7">
        <f>('1 A'!T10+'1 B'!T10)</f>
        <v>0</v>
      </c>
      <c r="I10" s="7">
        <f>('1 A'!U10+'1 B'!U10)</f>
        <v>0</v>
      </c>
      <c r="J10" s="7">
        <f>('1 A'!V10+'1 B'!V10)</f>
        <v>0</v>
      </c>
      <c r="K10" s="7">
        <f>('1 A'!W10+'1 B'!W10)</f>
        <v>0</v>
      </c>
      <c r="L10" s="7">
        <f>('1 A'!X10+'1 B'!X10)</f>
        <v>0</v>
      </c>
      <c r="M10" s="7">
        <f>('1 A'!Y10+'1 B'!Y10)</f>
        <v>0</v>
      </c>
      <c r="N10" s="7">
        <f>('1 A'!Z10+'1 B'!Z10)</f>
        <v>0</v>
      </c>
    </row>
    <row r="11" spans="1:26" ht="19.5" customHeight="1" x14ac:dyDescent="0.2">
      <c r="A11" s="15" t="s">
        <v>6</v>
      </c>
      <c r="B11" s="14" t="s">
        <v>14</v>
      </c>
      <c r="C11" s="7">
        <f>('1 A'!O11+'1 B'!O11)</f>
        <v>0</v>
      </c>
      <c r="D11" s="7">
        <f>('1 A'!P11+'1 B'!P11)</f>
        <v>0</v>
      </c>
      <c r="E11" s="7">
        <f>('1 A'!Q11+'1 B'!Q11)</f>
        <v>0</v>
      </c>
      <c r="F11" s="7">
        <f>('1 A'!R11+'1 B'!R11)</f>
        <v>0</v>
      </c>
      <c r="G11" s="7">
        <f>('1 A'!S11+'1 B'!S11)</f>
        <v>0</v>
      </c>
      <c r="H11" s="7">
        <f>('1 A'!T11+'1 B'!T11)</f>
        <v>0</v>
      </c>
      <c r="I11" s="7">
        <f>('1 A'!U11+'1 B'!U11)</f>
        <v>0</v>
      </c>
      <c r="J11" s="7">
        <f>('1 A'!V11+'1 B'!V11)</f>
        <v>0</v>
      </c>
      <c r="K11" s="7">
        <f>('1 A'!W11+'1 B'!W11)</f>
        <v>0</v>
      </c>
      <c r="L11" s="7">
        <f>('1 A'!X11+'1 B'!X11)</f>
        <v>0</v>
      </c>
      <c r="M11" s="7">
        <f>('1 A'!Y11+'1 B'!Y11)</f>
        <v>0</v>
      </c>
      <c r="N11" s="7">
        <f>('1 A'!Z11+'1 B'!Z11)</f>
        <v>0</v>
      </c>
    </row>
    <row r="12" spans="1:26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6" ht="19.5" customHeight="1" x14ac:dyDescent="0.2">
      <c r="A13" s="14"/>
      <c r="B13" s="14" t="s">
        <v>15</v>
      </c>
      <c r="C13" s="7">
        <f>('1 A'!O13+'1 B'!O13)</f>
        <v>0</v>
      </c>
      <c r="D13" s="7">
        <f>('1 A'!P13+'1 B'!P13)</f>
        <v>0</v>
      </c>
      <c r="E13" s="7">
        <f>('1 A'!Q13+'1 B'!Q13)</f>
        <v>0</v>
      </c>
      <c r="F13" s="7">
        <f>('1 A'!R13+'1 B'!R13)</f>
        <v>0</v>
      </c>
      <c r="G13" s="7">
        <f>('1 A'!S13+'1 B'!S13)</f>
        <v>0</v>
      </c>
      <c r="H13" s="7">
        <f>('1 A'!T13+'1 B'!T13)</f>
        <v>0</v>
      </c>
      <c r="I13" s="7">
        <f>('1 A'!U13+'1 B'!U13)</f>
        <v>0</v>
      </c>
      <c r="J13" s="7">
        <f>('1 A'!V13+'1 B'!V13)</f>
        <v>0</v>
      </c>
      <c r="K13" s="7">
        <f>('1 A'!W13+'1 B'!W13)</f>
        <v>0</v>
      </c>
      <c r="L13" s="7">
        <f>('1 A'!X13+'1 B'!X13)</f>
        <v>0</v>
      </c>
      <c r="M13" s="7">
        <f>('1 A'!Y13+'1 B'!Y13)</f>
        <v>0</v>
      </c>
      <c r="N13" s="7">
        <f>('1 A'!Z13+'1 B'!Z13)</f>
        <v>0</v>
      </c>
    </row>
    <row r="14" spans="1:26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6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conditionalFormatting sqref="F1:F1048576">
    <cfRule type="cellIs" dxfId="33" priority="1" operator="equal">
      <formula>"H"</formula>
    </cfRule>
    <cfRule type="cellIs" dxfId="32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B43071A0-59D6-4AF0-BA1D-95E26858E9DD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35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2" si="2">MID(B8,7,2)</f>
        <v/>
      </c>
      <c r="I8" s="2" t="e">
        <f t="shared" ref="I8:I32" si="3">MID(B8,5,2)+2000</f>
        <v>#VALUE!</v>
      </c>
      <c r="J8" s="12" t="e">
        <f t="shared" ref="J8:J32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2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ref="F33:F41" si="7">MID(B33,11,1)</f>
        <v/>
      </c>
      <c r="G33" s="2" t="str">
        <f t="shared" ref="G33:G41" si="8">MID(B33,9,2)</f>
        <v/>
      </c>
      <c r="H33" s="2" t="str">
        <f t="shared" ref="H33:H41" si="9">MID(B33,7,2)</f>
        <v/>
      </c>
      <c r="I33" s="2" t="e">
        <f t="shared" ref="I33:I41" si="10">MID(B33,5,2)+2000</f>
        <v>#VALUE!</v>
      </c>
      <c r="J33" s="12" t="e">
        <f t="shared" ref="J33:J41" si="11">DATE(I33,H33,G33)</f>
        <v>#VALUE!</v>
      </c>
      <c r="K33" s="13" t="e">
        <f t="shared" ref="K33:K41" si="12">DATEDIF(J33,$J$5,"Y")</f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7"/>
        <v/>
      </c>
      <c r="G34" s="2" t="str">
        <f t="shared" si="8"/>
        <v/>
      </c>
      <c r="H34" s="2" t="str">
        <f t="shared" si="9"/>
        <v/>
      </c>
      <c r="I34" s="2" t="e">
        <f t="shared" si="10"/>
        <v>#VALUE!</v>
      </c>
      <c r="J34" s="12" t="e">
        <f t="shared" si="11"/>
        <v>#VALUE!</v>
      </c>
      <c r="K34" s="13" t="e">
        <f t="shared" si="12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7"/>
        <v/>
      </c>
      <c r="G35" s="2" t="str">
        <f t="shared" si="8"/>
        <v/>
      </c>
      <c r="H35" s="2" t="str">
        <f t="shared" si="9"/>
        <v/>
      </c>
      <c r="I35" s="2" t="e">
        <f t="shared" si="10"/>
        <v>#VALUE!</v>
      </c>
      <c r="J35" s="12" t="e">
        <f t="shared" si="11"/>
        <v>#VALUE!</v>
      </c>
      <c r="K35" s="13" t="e">
        <f t="shared" si="12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si="7"/>
        <v/>
      </c>
      <c r="G36" s="2" t="str">
        <f t="shared" si="8"/>
        <v/>
      </c>
      <c r="H36" s="2" t="str">
        <f t="shared" si="9"/>
        <v/>
      </c>
      <c r="I36" s="2" t="e">
        <f t="shared" si="10"/>
        <v>#VALUE!</v>
      </c>
      <c r="J36" s="12" t="e">
        <f t="shared" si="11"/>
        <v>#VALUE!</v>
      </c>
      <c r="K36" s="13" t="e">
        <f t="shared" si="12"/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4"/>
      <c r="C38" s="55"/>
      <c r="D38" s="1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40"/>
      <c r="C39" s="41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3000000}"/>
  <conditionalFormatting sqref="F1:F1048576">
    <cfRule type="cellIs" dxfId="31" priority="1" operator="equal">
      <formula>"H"</formula>
    </cfRule>
    <cfRule type="cellIs" dxfId="30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3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40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2" si="2">MID(B8,7,2)</f>
        <v/>
      </c>
      <c r="I8" s="2" t="e">
        <f t="shared" ref="I8:I32" si="3">MID(B8,5,2)+2000</f>
        <v>#VALUE!</v>
      </c>
      <c r="J8" s="12" t="e">
        <f t="shared" ref="J8:J32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2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ref="F33:F41" si="7">MID(B33,11,1)</f>
        <v/>
      </c>
      <c r="G33" s="2" t="str">
        <f t="shared" ref="G33:G41" si="8">MID(B33,9,2)</f>
        <v/>
      </c>
      <c r="H33" s="2" t="str">
        <f t="shared" ref="H33:H41" si="9">MID(B33,7,2)</f>
        <v/>
      </c>
      <c r="I33" s="2" t="e">
        <f t="shared" ref="I33:I41" si="10">MID(B33,5,2)+2000</f>
        <v>#VALUE!</v>
      </c>
      <c r="J33" s="12" t="e">
        <f t="shared" ref="J33:J41" si="11">DATE(I33,H33,G33)</f>
        <v>#VALUE!</v>
      </c>
      <c r="K33" s="13" t="e">
        <f t="shared" ref="K33:K41" si="12">DATEDIF(J33,$J$5,"Y")</f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7"/>
        <v/>
      </c>
      <c r="G34" s="2" t="str">
        <f t="shared" si="8"/>
        <v/>
      </c>
      <c r="H34" s="2" t="str">
        <f t="shared" si="9"/>
        <v/>
      </c>
      <c r="I34" s="2" t="e">
        <f t="shared" si="10"/>
        <v>#VALUE!</v>
      </c>
      <c r="J34" s="12" t="e">
        <f t="shared" si="11"/>
        <v>#VALUE!</v>
      </c>
      <c r="K34" s="13" t="e">
        <f t="shared" si="12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7"/>
        <v/>
      </c>
      <c r="G35" s="2" t="str">
        <f t="shared" si="8"/>
        <v/>
      </c>
      <c r="H35" s="2" t="str">
        <f t="shared" si="9"/>
        <v/>
      </c>
      <c r="I35" s="2" t="e">
        <f t="shared" si="10"/>
        <v>#VALUE!</v>
      </c>
      <c r="J35" s="12" t="e">
        <f t="shared" si="11"/>
        <v>#VALUE!</v>
      </c>
      <c r="K35" s="13" t="e">
        <f t="shared" si="12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si="7"/>
        <v/>
      </c>
      <c r="G36" s="2" t="str">
        <f t="shared" si="8"/>
        <v/>
      </c>
      <c r="H36" s="2" t="str">
        <f t="shared" si="9"/>
        <v/>
      </c>
      <c r="I36" s="2" t="e">
        <f t="shared" si="10"/>
        <v>#VALUE!</v>
      </c>
      <c r="J36" s="12" t="e">
        <f t="shared" si="11"/>
        <v>#VALUE!</v>
      </c>
      <c r="K36" s="13" t="e">
        <f t="shared" si="12"/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4"/>
      <c r="C37" s="69"/>
      <c r="D37" s="1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40"/>
      <c r="C38" s="41"/>
      <c r="D38" s="1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40"/>
      <c r="C39" s="41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4000000}"/>
  <conditionalFormatting sqref="F1:F1048576">
    <cfRule type="cellIs" dxfId="29" priority="1" operator="equal">
      <formula>"H"</formula>
    </cfRule>
    <cfRule type="cellIs" dxfId="28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4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63"/>
  <sheetViews>
    <sheetView zoomScale="90" zoomScaleNormal="90" workbookViewId="0">
      <selection activeCell="C5" sqref="C5:J5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6.4570312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49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6" ht="19.5" customHeight="1" x14ac:dyDescent="0.2">
      <c r="A7" s="14"/>
      <c r="B7" s="14" t="s">
        <v>13</v>
      </c>
      <c r="C7" s="7">
        <f>('2 A'!O7+'2 B'!O7)</f>
        <v>0</v>
      </c>
      <c r="D7" s="7">
        <f>('2 A'!P7+'2 B'!P7)</f>
        <v>0</v>
      </c>
      <c r="E7" s="7">
        <f>('2 A'!Q7+'2 B'!Q7)</f>
        <v>0</v>
      </c>
      <c r="F7" s="7">
        <f>('2 A'!R7+'2 B'!R7)</f>
        <v>0</v>
      </c>
      <c r="G7" s="7">
        <f>('2 A'!S7+'2 B'!S7)</f>
        <v>0</v>
      </c>
      <c r="H7" s="7">
        <f>('2 A'!T7+'2 B'!T7)</f>
        <v>0</v>
      </c>
      <c r="I7" s="7">
        <f>('2 A'!U7+'2 B'!U7)</f>
        <v>0</v>
      </c>
      <c r="J7" s="7">
        <f>('2 A'!V7+'2 B'!V7)</f>
        <v>0</v>
      </c>
      <c r="K7" s="7">
        <f>('2 A'!W7+'2 B'!W7)</f>
        <v>0</v>
      </c>
      <c r="L7" s="7">
        <f>('2 A'!X7+'2 B'!X7)</f>
        <v>0</v>
      </c>
      <c r="M7" s="7">
        <f>('2 A'!Y7+'2 B'!Y7)</f>
        <v>0</v>
      </c>
      <c r="N7" s="7">
        <f>('2 A'!Z7+'2 B'!Z7)</f>
        <v>0</v>
      </c>
    </row>
    <row r="8" spans="1:26" ht="19.5" customHeight="1" x14ac:dyDescent="0.2">
      <c r="A8" s="16" t="s">
        <v>5</v>
      </c>
      <c r="B8" s="14" t="s">
        <v>14</v>
      </c>
      <c r="C8" s="7">
        <f>('2 A'!O8+'2 B'!O8)</f>
        <v>0</v>
      </c>
      <c r="D8" s="7">
        <f>('2 A'!P8+'2 B'!P8)</f>
        <v>0</v>
      </c>
      <c r="E8" s="7">
        <f>('2 A'!Q8+'2 B'!Q8)</f>
        <v>0</v>
      </c>
      <c r="F8" s="7">
        <f>('2 A'!R8+'2 B'!R8)</f>
        <v>0</v>
      </c>
      <c r="G8" s="7">
        <f>('2 A'!S8+'2 B'!S8)</f>
        <v>0</v>
      </c>
      <c r="H8" s="7">
        <f>('2 A'!T8+'2 B'!T8)</f>
        <v>0</v>
      </c>
      <c r="I8" s="7">
        <f>('2 A'!U8+'2 B'!U8)</f>
        <v>0</v>
      </c>
      <c r="J8" s="7">
        <f>('2 A'!V8+'2 B'!V8)</f>
        <v>0</v>
      </c>
      <c r="K8" s="7">
        <f>('2 A'!W8+'2 B'!W8)</f>
        <v>0</v>
      </c>
      <c r="L8" s="7">
        <f>('2 A'!X8+'2 B'!X8)</f>
        <v>0</v>
      </c>
      <c r="M8" s="7">
        <f>('2 A'!Y8+'2 B'!Y8)</f>
        <v>0</v>
      </c>
      <c r="N8" s="7">
        <f>('2 A'!Z8+'2 B'!Z8)</f>
        <v>0</v>
      </c>
    </row>
    <row r="9" spans="1:26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6" ht="19.5" customHeight="1" x14ac:dyDescent="0.2">
      <c r="A10" s="14"/>
      <c r="B10" s="14" t="s">
        <v>13</v>
      </c>
      <c r="C10" s="7">
        <f>('2 A'!O10+'2 B'!O10)</f>
        <v>0</v>
      </c>
      <c r="D10" s="7">
        <f>('2 A'!P10+'2 B'!P10)</f>
        <v>0</v>
      </c>
      <c r="E10" s="7">
        <f>('2 A'!Q10+'2 B'!Q10)</f>
        <v>0</v>
      </c>
      <c r="F10" s="7">
        <f>('2 A'!R10+'2 B'!R10)</f>
        <v>0</v>
      </c>
      <c r="G10" s="7">
        <f>('2 A'!S10+'2 B'!S10)</f>
        <v>0</v>
      </c>
      <c r="H10" s="7">
        <f>('2 A'!T10+'2 B'!T10)</f>
        <v>0</v>
      </c>
      <c r="I10" s="7">
        <f>('2 A'!U10+'2 B'!U10)</f>
        <v>0</v>
      </c>
      <c r="J10" s="7">
        <f>('2 A'!V10+'2 B'!V10)</f>
        <v>0</v>
      </c>
      <c r="K10" s="7">
        <f>('2 A'!W10+'2 B'!W10)</f>
        <v>0</v>
      </c>
      <c r="L10" s="7">
        <f>('2 A'!X10+'2 B'!X10)</f>
        <v>0</v>
      </c>
      <c r="M10" s="7">
        <f>('2 A'!Y10+'2 B'!Y10)</f>
        <v>0</v>
      </c>
      <c r="N10" s="7">
        <f>('2 A'!Z10+'2 B'!Z10)</f>
        <v>0</v>
      </c>
    </row>
    <row r="11" spans="1:26" ht="19.5" customHeight="1" x14ac:dyDescent="0.2">
      <c r="A11" s="15" t="s">
        <v>6</v>
      </c>
      <c r="B11" s="14" t="s">
        <v>14</v>
      </c>
      <c r="C11" s="7">
        <f>('2 A'!O11+'2 B'!O11)</f>
        <v>0</v>
      </c>
      <c r="D11" s="7">
        <f>('2 A'!P11+'2 B'!P11)</f>
        <v>0</v>
      </c>
      <c r="E11" s="7">
        <f>('2 A'!Q11+'2 B'!Q11)</f>
        <v>0</v>
      </c>
      <c r="F11" s="7">
        <f>('2 A'!R11+'2 B'!R11)</f>
        <v>0</v>
      </c>
      <c r="G11" s="7">
        <f>('2 A'!S11+'2 B'!S11)</f>
        <v>0</v>
      </c>
      <c r="H11" s="7">
        <f>('2 A'!T11+'2 B'!T11)</f>
        <v>0</v>
      </c>
      <c r="I11" s="7">
        <f>('2 A'!U11+'2 B'!U11)</f>
        <v>0</v>
      </c>
      <c r="J11" s="7">
        <f>('2 A'!V11+'2 B'!V11)</f>
        <v>0</v>
      </c>
      <c r="K11" s="7">
        <f>('2 A'!W11+'2 B'!W11)</f>
        <v>0</v>
      </c>
      <c r="L11" s="7">
        <f>('2 A'!X11+'2 B'!X11)</f>
        <v>0</v>
      </c>
      <c r="M11" s="7">
        <f>('2 A'!Y11+'2 B'!Y11)</f>
        <v>0</v>
      </c>
      <c r="N11" s="7">
        <f>('2 A'!Z11+'2 B'!Z11)</f>
        <v>0</v>
      </c>
    </row>
    <row r="12" spans="1:26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6" ht="19.5" customHeight="1" x14ac:dyDescent="0.2">
      <c r="A13" s="14"/>
      <c r="B13" s="14" t="s">
        <v>15</v>
      </c>
      <c r="C13" s="7">
        <f>('2 A'!O13+'2 B'!O13)</f>
        <v>0</v>
      </c>
      <c r="D13" s="7">
        <f>('2 A'!P13+'2 B'!P13)</f>
        <v>0</v>
      </c>
      <c r="E13" s="7">
        <f>('2 A'!Q13+'2 B'!Q13)</f>
        <v>0</v>
      </c>
      <c r="F13" s="7">
        <f>('2 A'!R13+'2 B'!R13)</f>
        <v>0</v>
      </c>
      <c r="G13" s="7">
        <f>('2 A'!S13+'2 B'!S13)</f>
        <v>0</v>
      </c>
      <c r="H13" s="7">
        <f>('2 A'!T13+'2 B'!T13)</f>
        <v>0</v>
      </c>
      <c r="I13" s="7">
        <f>('2 A'!U13+'2 B'!U13)</f>
        <v>0</v>
      </c>
      <c r="J13" s="7">
        <f>('2 A'!V13+'2 B'!V13)</f>
        <v>0</v>
      </c>
      <c r="K13" s="7">
        <f>('2 A'!W13+'2 B'!W13)</f>
        <v>0</v>
      </c>
      <c r="L13" s="7">
        <f>('2 A'!X13+'2 B'!X13)</f>
        <v>0</v>
      </c>
      <c r="M13" s="7">
        <f>('2 A'!Y13+'2 B'!Y13)</f>
        <v>0</v>
      </c>
      <c r="N13" s="7">
        <f>('2 A'!Z13+'2 B'!Z13)</f>
        <v>0</v>
      </c>
    </row>
    <row r="14" spans="1:26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6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6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26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conditionalFormatting sqref="F1:F1048576">
    <cfRule type="cellIs" dxfId="27" priority="1" operator="equal">
      <formula>"H"</formula>
    </cfRule>
    <cfRule type="cellIs" dxfId="26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5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36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7" si="2">MID(B8,7,2)</f>
        <v/>
      </c>
      <c r="I8" s="2" t="e">
        <f t="shared" ref="I8:I37" si="3">MID(B8,5,2)+2000</f>
        <v>#VALUE!</v>
      </c>
      <c r="J8" s="12" t="e">
        <f t="shared" ref="J8:J37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7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2" t="e">
        <f t="shared" si="3"/>
        <v>#VALUE!</v>
      </c>
      <c r="J35" s="12" t="e">
        <f t="shared" si="4"/>
        <v>#VALUE!</v>
      </c>
      <c r="K35" s="13" t="e">
        <f t="shared" si="5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ref="F36:F41" si="7">MID(B36,11,1)</f>
        <v/>
      </c>
      <c r="G36" s="2" t="str">
        <f t="shared" ref="G36:G41" si="8">MID(B36,9,2)</f>
        <v/>
      </c>
      <c r="H36" s="2" t="str">
        <f t="shared" ref="H36:H41" si="9">MID(B36,7,2)</f>
        <v/>
      </c>
      <c r="I36" s="2" t="e">
        <f t="shared" ref="I36:I41" si="10">MID(B36,5,2)+2000</f>
        <v>#VALUE!</v>
      </c>
      <c r="J36" s="12" t="e">
        <f t="shared" ref="J36:J41" si="11">DATE(I36,H36,G36)</f>
        <v>#VALUE!</v>
      </c>
      <c r="K36" s="13" t="e">
        <f t="shared" ref="K36:K41" si="12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6"/>
      <c r="C38" s="57"/>
      <c r="D38" s="5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54"/>
      <c r="C39" s="69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6000000}"/>
  <conditionalFormatting sqref="F1:F1048576">
    <cfRule type="cellIs" dxfId="25" priority="1" operator="equal">
      <formula>"H"</formula>
    </cfRule>
    <cfRule type="cellIs" dxfId="24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6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42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7" si="2">MID(B8,7,2)</f>
        <v/>
      </c>
      <c r="I8" s="2" t="e">
        <f t="shared" ref="I8:I37" si="3">MID(B8,5,2)+2000</f>
        <v>#VALUE!</v>
      </c>
      <c r="J8" s="12" t="e">
        <f t="shared" ref="J8:J37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7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2" t="e">
        <f t="shared" si="3"/>
        <v>#VALUE!</v>
      </c>
      <c r="J35" s="12" t="e">
        <f t="shared" si="4"/>
        <v>#VALUE!</v>
      </c>
      <c r="K35" s="13" t="e">
        <f t="shared" si="5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ref="F36:F41" si="7">MID(B36,11,1)</f>
        <v/>
      </c>
      <c r="G36" s="2" t="str">
        <f t="shared" ref="G36:G41" si="8">MID(B36,9,2)</f>
        <v/>
      </c>
      <c r="H36" s="2" t="str">
        <f t="shared" ref="H36:H41" si="9">MID(B36,7,2)</f>
        <v/>
      </c>
      <c r="I36" s="2" t="e">
        <f t="shared" ref="I36:I41" si="10">MID(B36,5,2)+2000</f>
        <v>#VALUE!</v>
      </c>
      <c r="J36" s="12" t="e">
        <f t="shared" ref="J36:J41" si="11">DATE(I36,H36,G36)</f>
        <v>#VALUE!</v>
      </c>
      <c r="K36" s="13" t="e">
        <f t="shared" ref="K36:K41" si="12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6"/>
      <c r="C38" s="57"/>
      <c r="D38" s="5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54"/>
      <c r="C39" s="69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7000000}"/>
  <conditionalFormatting sqref="F1:F1048576">
    <cfRule type="cellIs" dxfId="23" priority="1" operator="equal">
      <formula>"H"</formula>
    </cfRule>
    <cfRule type="cellIs" dxfId="22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7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63"/>
  <sheetViews>
    <sheetView zoomScale="90" zoomScaleNormal="90" workbookViewId="0">
      <selection activeCell="K3" sqref="K3:S3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6.320312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50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6" ht="19.5" customHeight="1" x14ac:dyDescent="0.2">
      <c r="A7" s="14"/>
      <c r="B7" s="14" t="s">
        <v>13</v>
      </c>
      <c r="C7" s="7">
        <f>'3 A '!O7+'3 B'!O7</f>
        <v>0</v>
      </c>
      <c r="D7" s="7">
        <f>'3 A '!P7+'3 B'!P7</f>
        <v>0</v>
      </c>
      <c r="E7" s="7">
        <f>'3 A '!Q7+'3 B'!Q7</f>
        <v>0</v>
      </c>
      <c r="F7" s="7">
        <f>'3 A '!R7+'3 B'!R7</f>
        <v>0</v>
      </c>
      <c r="G7" s="7">
        <f>'3 A '!S7+'3 B'!S7</f>
        <v>0</v>
      </c>
      <c r="H7" s="7">
        <f>'3 A '!T7+'3 B'!T7</f>
        <v>0</v>
      </c>
      <c r="I7" s="7">
        <f>'3 A '!U7+'3 B'!U7</f>
        <v>0</v>
      </c>
      <c r="J7" s="7">
        <f>'3 A '!V7+'3 B'!V7</f>
        <v>0</v>
      </c>
      <c r="K7" s="7">
        <f>'3 A '!W7+'3 B'!W7</f>
        <v>0</v>
      </c>
      <c r="L7" s="7">
        <f>'3 A '!X7+'3 B'!X7</f>
        <v>0</v>
      </c>
      <c r="M7" s="7">
        <f>'3 A '!Y7+'3 B'!Y7</f>
        <v>0</v>
      </c>
      <c r="N7" s="7">
        <f>'3 A '!Z7+'3 B'!Z7</f>
        <v>0</v>
      </c>
    </row>
    <row r="8" spans="1:26" ht="19.5" customHeight="1" x14ac:dyDescent="0.2">
      <c r="A8" s="16" t="s">
        <v>5</v>
      </c>
      <c r="B8" s="14" t="s">
        <v>14</v>
      </c>
      <c r="C8" s="7">
        <f>'3 A '!O8+'3 B'!O8</f>
        <v>0</v>
      </c>
      <c r="D8" s="7">
        <f>'3 A '!P8+'3 B'!P8</f>
        <v>0</v>
      </c>
      <c r="E8" s="7">
        <f>'3 A '!Q8+'3 B'!Q8</f>
        <v>0</v>
      </c>
      <c r="F8" s="7">
        <f>'3 A '!R8+'3 B'!R8</f>
        <v>0</v>
      </c>
      <c r="G8" s="7">
        <f>'3 A '!S8+'3 B'!S8</f>
        <v>0</v>
      </c>
      <c r="H8" s="7">
        <f>'3 A '!T8+'3 B'!T8</f>
        <v>0</v>
      </c>
      <c r="I8" s="7">
        <f>'3 A '!U8+'3 B'!U8</f>
        <v>0</v>
      </c>
      <c r="J8" s="7">
        <f>'3 A '!V8+'3 B'!V8</f>
        <v>0</v>
      </c>
      <c r="K8" s="7">
        <f>'3 A '!W8+'3 B'!W8</f>
        <v>0</v>
      </c>
      <c r="L8" s="7">
        <f>'3 A '!X8+'3 B'!X8</f>
        <v>0</v>
      </c>
      <c r="M8" s="7">
        <f>'3 A '!Y8+'3 B'!Y8</f>
        <v>0</v>
      </c>
      <c r="N8" s="7">
        <f>'3 A '!Z8+'3 B'!Z8</f>
        <v>0</v>
      </c>
    </row>
    <row r="9" spans="1:26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6" ht="19.5" customHeight="1" x14ac:dyDescent="0.2">
      <c r="A10" s="14"/>
      <c r="B10" s="14" t="s">
        <v>13</v>
      </c>
      <c r="C10" s="7">
        <f>'3 A '!O10+'3 B'!O10</f>
        <v>0</v>
      </c>
      <c r="D10" s="7">
        <f>'3 A '!P10+'3 B'!P10</f>
        <v>0</v>
      </c>
      <c r="E10" s="7">
        <f>'3 A '!Q10+'3 B'!Q10</f>
        <v>0</v>
      </c>
      <c r="F10" s="7">
        <f>'3 A '!R10+'3 B'!R10</f>
        <v>0</v>
      </c>
      <c r="G10" s="7">
        <f>'3 A '!S10+'3 B'!S10</f>
        <v>0</v>
      </c>
      <c r="H10" s="7">
        <f>'3 A '!T10+'3 B'!T10</f>
        <v>0</v>
      </c>
      <c r="I10" s="7">
        <f>'3 A '!U10+'3 B'!U10</f>
        <v>0</v>
      </c>
      <c r="J10" s="7">
        <f>'3 A '!V10+'3 B'!V10</f>
        <v>0</v>
      </c>
      <c r="K10" s="7">
        <f>'3 A '!W10+'3 B'!W10</f>
        <v>0</v>
      </c>
      <c r="L10" s="7">
        <f>'3 A '!X10+'3 B'!X10</f>
        <v>0</v>
      </c>
      <c r="M10" s="7">
        <f>'3 A '!Y10+'3 B'!Y10</f>
        <v>0</v>
      </c>
      <c r="N10" s="7">
        <f>'3 A '!Z10+'3 B'!Z10</f>
        <v>0</v>
      </c>
    </row>
    <row r="11" spans="1:26" ht="19.5" customHeight="1" x14ac:dyDescent="0.2">
      <c r="A11" s="15" t="s">
        <v>6</v>
      </c>
      <c r="B11" s="14" t="s">
        <v>14</v>
      </c>
      <c r="C11" s="7">
        <f>'3 A '!O11+'3 B'!O11</f>
        <v>0</v>
      </c>
      <c r="D11" s="7">
        <f>'3 A '!P11+'3 B'!P11</f>
        <v>0</v>
      </c>
      <c r="E11" s="7">
        <f>'3 A '!Q11+'3 B'!Q11</f>
        <v>0</v>
      </c>
      <c r="F11" s="7">
        <f>'3 A '!R11+'3 B'!R11</f>
        <v>0</v>
      </c>
      <c r="G11" s="7">
        <f>'3 A '!S11+'3 B'!S11</f>
        <v>0</v>
      </c>
      <c r="H11" s="7">
        <f>'3 A '!T11+'3 B'!T11</f>
        <v>0</v>
      </c>
      <c r="I11" s="7">
        <f>'3 A '!U11+'3 B'!U11</f>
        <v>0</v>
      </c>
      <c r="J11" s="7">
        <f>'3 A '!V11+'3 B'!V11</f>
        <v>0</v>
      </c>
      <c r="K11" s="7">
        <f>'3 A '!W11+'3 B'!W11</f>
        <v>0</v>
      </c>
      <c r="L11" s="7">
        <f>'3 A '!X11+'3 B'!X11</f>
        <v>0</v>
      </c>
      <c r="M11" s="7">
        <f>'3 A '!Y11+'3 B'!Y11</f>
        <v>0</v>
      </c>
      <c r="N11" s="7">
        <f>'3 A '!Z11+'3 B'!Z11</f>
        <v>0</v>
      </c>
    </row>
    <row r="12" spans="1:26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6" ht="19.5" customHeight="1" x14ac:dyDescent="0.2">
      <c r="A13" s="14"/>
      <c r="B13" s="14" t="s">
        <v>15</v>
      </c>
      <c r="C13" s="7">
        <f>'3 A '!O13+'3 B'!O13</f>
        <v>0</v>
      </c>
      <c r="D13" s="7">
        <f>'3 A '!P13+'3 B'!P13</f>
        <v>0</v>
      </c>
      <c r="E13" s="7">
        <f>'3 A '!Q13+'3 B'!Q13</f>
        <v>0</v>
      </c>
      <c r="F13" s="7">
        <f>'3 A '!R13+'3 B'!R13</f>
        <v>0</v>
      </c>
      <c r="G13" s="7">
        <f>'3 A '!S13+'3 B'!S13</f>
        <v>0</v>
      </c>
      <c r="H13" s="7">
        <f>'3 A '!T13+'3 B'!T13</f>
        <v>0</v>
      </c>
      <c r="I13" s="7">
        <f>'3 A '!U13+'3 B'!U13</f>
        <v>0</v>
      </c>
      <c r="J13" s="7">
        <f>'3 A '!V13+'3 B'!V13</f>
        <v>0</v>
      </c>
      <c r="K13" s="7">
        <f>'3 A '!W13+'3 B'!W13</f>
        <v>0</v>
      </c>
      <c r="L13" s="7">
        <f>'3 A '!X13+'3 B'!X13</f>
        <v>0</v>
      </c>
      <c r="M13" s="7">
        <f>'3 A '!Y13+'3 B'!Y13</f>
        <v>0</v>
      </c>
      <c r="N13" s="7">
        <f>'3 A '!Z13+'3 B'!Z13</f>
        <v>0</v>
      </c>
    </row>
    <row r="14" spans="1:26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6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6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26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conditionalFormatting sqref="F1:F1048576">
    <cfRule type="cellIs" dxfId="21" priority="1" operator="equal">
      <formula>"H"</formula>
    </cfRule>
    <cfRule type="cellIs" dxfId="20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8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37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7" si="2">MID(B8,7,2)</f>
        <v/>
      </c>
      <c r="I8" s="2" t="e">
        <f t="shared" ref="I8:I37" si="3">MID(B8,5,2)+2000</f>
        <v>#VALUE!</v>
      </c>
      <c r="J8" s="12" t="e">
        <f t="shared" ref="J8:J37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7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2" t="e">
        <f t="shared" si="3"/>
        <v>#VALUE!</v>
      </c>
      <c r="J35" s="12" t="e">
        <f t="shared" si="4"/>
        <v>#VALUE!</v>
      </c>
      <c r="K35" s="13" t="e">
        <f t="shared" si="5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ref="F36:F41" si="7">MID(B36,11,1)</f>
        <v/>
      </c>
      <c r="G36" s="2" t="str">
        <f t="shared" ref="G36:G41" si="8">MID(B36,9,2)</f>
        <v/>
      </c>
      <c r="H36" s="2" t="str">
        <f t="shared" ref="H36:H41" si="9">MID(B36,7,2)</f>
        <v/>
      </c>
      <c r="I36" s="2" t="e">
        <f t="shared" ref="I36:I41" si="10">MID(B36,5,2)+2000</f>
        <v>#VALUE!</v>
      </c>
      <c r="J36" s="12" t="e">
        <f t="shared" ref="J36:J41" si="11">DATE(I36,H36,G36)</f>
        <v>#VALUE!</v>
      </c>
      <c r="K36" s="13" t="e">
        <f t="shared" ref="K36:K41" si="12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6"/>
      <c r="C38" s="57"/>
      <c r="D38" s="5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56"/>
      <c r="C39" s="57"/>
      <c r="D39" s="5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54"/>
      <c r="C40" s="55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9000000}"/>
  <conditionalFormatting sqref="F1:F1048576">
    <cfRule type="cellIs" dxfId="19" priority="1" operator="equal">
      <formula>"H"</formula>
    </cfRule>
    <cfRule type="cellIs" dxfId="18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9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41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6" si="2">MID(B8,7,2)</f>
        <v/>
      </c>
      <c r="I8" s="2" t="e">
        <f t="shared" ref="I8:I36" si="3">MID(B8,5,2)+2000</f>
        <v>#VALUE!</v>
      </c>
      <c r="J8" s="12" t="e">
        <f t="shared" ref="J8:J36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6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2" t="e">
        <f t="shared" si="3"/>
        <v>#VALUE!</v>
      </c>
      <c r="J35" s="12" t="e">
        <f t="shared" si="4"/>
        <v>#VALUE!</v>
      </c>
      <c r="K35" s="13" t="e">
        <f t="shared" si="5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ref="F36:F41" si="7">MID(B36,11,1)</f>
        <v/>
      </c>
      <c r="G36" s="2" t="str">
        <f t="shared" ref="G36:G41" si="8">MID(B36,9,2)</f>
        <v/>
      </c>
      <c r="H36" s="2" t="str">
        <f t="shared" ref="H36:H41" si="9">MID(B36,7,2)</f>
        <v/>
      </c>
      <c r="I36" s="2" t="e">
        <f t="shared" ref="I36:I41" si="10">MID(B36,5,2)+2000</f>
        <v>#VALUE!</v>
      </c>
      <c r="J36" s="12" t="e">
        <f t="shared" ref="J36:J41" si="11">DATE(I36,H36,G36)</f>
        <v>#VALUE!</v>
      </c>
      <c r="K36" s="13" t="e">
        <f t="shared" ref="K36:K41" si="12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6"/>
      <c r="C38" s="57"/>
      <c r="D38" s="5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54"/>
      <c r="C39" s="55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A000000}"/>
  <conditionalFormatting sqref="F1:F1048576">
    <cfRule type="cellIs" dxfId="17" priority="1" operator="equal">
      <formula>"H"</formula>
    </cfRule>
    <cfRule type="cellIs" dxfId="16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A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3"/>
  <sheetViews>
    <sheetView zoomScale="90" zoomScaleNormal="90" workbookViewId="0">
      <selection activeCell="L3" sqref="L3:T3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5.7812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51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6" ht="19.5" customHeight="1" x14ac:dyDescent="0.2">
      <c r="A7" s="14"/>
      <c r="B7" s="14" t="s">
        <v>13</v>
      </c>
      <c r="C7" s="7">
        <f>'4 A'!O7+'4 B'!O7</f>
        <v>0</v>
      </c>
      <c r="D7" s="7">
        <f>'4 A'!P7+'4 B'!P7</f>
        <v>0</v>
      </c>
      <c r="E7" s="7">
        <f>'4 A'!Q7+'4 B'!Q7</f>
        <v>0</v>
      </c>
      <c r="F7" s="7">
        <f>'4 A'!R7+'4 B'!R7</f>
        <v>0</v>
      </c>
      <c r="G7" s="7">
        <f>'4 A'!S7+'4 B'!S7</f>
        <v>0</v>
      </c>
      <c r="H7" s="7">
        <f>'4 A'!T7+'4 B'!T7</f>
        <v>0</v>
      </c>
      <c r="I7" s="7">
        <f>'4 A'!U7+'4 B'!U7</f>
        <v>0</v>
      </c>
      <c r="J7" s="7">
        <f>'4 A'!V7+'4 B'!V7</f>
        <v>0</v>
      </c>
      <c r="K7" s="7">
        <f>'4 A'!W7+'4 B'!W7</f>
        <v>0</v>
      </c>
      <c r="L7" s="7">
        <f>'4 A'!X7+'4 B'!X7</f>
        <v>0</v>
      </c>
      <c r="M7" s="7">
        <f>'4 A'!Y7+'4 B'!Y7</f>
        <v>0</v>
      </c>
      <c r="N7" s="7">
        <f>'4 A'!Z7+'4 B'!Z7</f>
        <v>0</v>
      </c>
    </row>
    <row r="8" spans="1:26" ht="19.5" customHeight="1" x14ac:dyDescent="0.2">
      <c r="A8" s="16" t="s">
        <v>5</v>
      </c>
      <c r="B8" s="14" t="s">
        <v>14</v>
      </c>
      <c r="C8" s="7">
        <f>'4 A'!O8+'4 B'!O8</f>
        <v>0</v>
      </c>
      <c r="D8" s="7">
        <f>'4 A'!P8+'4 B'!P8</f>
        <v>0</v>
      </c>
      <c r="E8" s="7">
        <f>'4 A'!Q8+'4 B'!Q8</f>
        <v>0</v>
      </c>
      <c r="F8" s="7">
        <f>'4 A'!R8+'4 B'!R8</f>
        <v>0</v>
      </c>
      <c r="G8" s="7">
        <f>'4 A'!S8+'4 B'!S8</f>
        <v>0</v>
      </c>
      <c r="H8" s="7">
        <f>'4 A'!T8+'4 B'!T8</f>
        <v>0</v>
      </c>
      <c r="I8" s="7">
        <f>'4 A'!U8+'4 B'!U8</f>
        <v>0</v>
      </c>
      <c r="J8" s="7">
        <f>'4 A'!V8+'4 B'!V8</f>
        <v>0</v>
      </c>
      <c r="K8" s="7">
        <f>'4 A'!W8+'4 B'!W8</f>
        <v>0</v>
      </c>
      <c r="L8" s="7">
        <f>'4 A'!X8+'4 B'!X8</f>
        <v>0</v>
      </c>
      <c r="M8" s="7">
        <f>'4 A'!Y8+'4 B'!Y8</f>
        <v>0</v>
      </c>
      <c r="N8" s="7">
        <f>'4 A'!Z8+'4 B'!Z8</f>
        <v>0</v>
      </c>
    </row>
    <row r="9" spans="1:26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6" ht="19.5" customHeight="1" x14ac:dyDescent="0.2">
      <c r="A10" s="14"/>
      <c r="B10" s="14" t="s">
        <v>13</v>
      </c>
      <c r="C10" s="7">
        <f>'4 A'!O10+'4 B'!O10</f>
        <v>0</v>
      </c>
      <c r="D10" s="7">
        <f>'4 A'!P10+'4 B'!P10</f>
        <v>0</v>
      </c>
      <c r="E10" s="7">
        <f>'4 A'!Q10+'4 B'!Q10</f>
        <v>0</v>
      </c>
      <c r="F10" s="7">
        <f>'4 A'!R10+'4 B'!R10</f>
        <v>0</v>
      </c>
      <c r="G10" s="7">
        <f>'4 A'!S10+'4 B'!S10</f>
        <v>0</v>
      </c>
      <c r="H10" s="7">
        <f>'4 A'!T10+'4 B'!T10</f>
        <v>0</v>
      </c>
      <c r="I10" s="7">
        <f>'4 A'!U10+'4 B'!U10</f>
        <v>0</v>
      </c>
      <c r="J10" s="7">
        <f>'4 A'!V10+'4 B'!V10</f>
        <v>0</v>
      </c>
      <c r="K10" s="7">
        <f>'4 A'!W10+'4 B'!W10</f>
        <v>0</v>
      </c>
      <c r="L10" s="7">
        <f>'4 A'!X10+'4 B'!X10</f>
        <v>0</v>
      </c>
      <c r="M10" s="7">
        <f>'4 A'!Y10+'4 B'!Y10</f>
        <v>0</v>
      </c>
      <c r="N10" s="7">
        <f>'4 A'!Z10+'4 B'!Z10</f>
        <v>0</v>
      </c>
    </row>
    <row r="11" spans="1:26" ht="19.5" customHeight="1" x14ac:dyDescent="0.2">
      <c r="A11" s="15" t="s">
        <v>6</v>
      </c>
      <c r="B11" s="14" t="s">
        <v>14</v>
      </c>
      <c r="C11" s="7">
        <f>'4 A'!O11+'4 B'!O11</f>
        <v>0</v>
      </c>
      <c r="D11" s="7">
        <f>'4 A'!P11+'4 B'!P11</f>
        <v>0</v>
      </c>
      <c r="E11" s="7">
        <f>'4 A'!Q11+'4 B'!Q11</f>
        <v>0</v>
      </c>
      <c r="F11" s="7">
        <f>'4 A'!R11+'4 B'!R11</f>
        <v>0</v>
      </c>
      <c r="G11" s="7">
        <f>'4 A'!S11+'4 B'!S11</f>
        <v>0</v>
      </c>
      <c r="H11" s="7">
        <f>'4 A'!T11+'4 B'!T11</f>
        <v>0</v>
      </c>
      <c r="I11" s="7">
        <f>'4 A'!U11+'4 B'!U11</f>
        <v>0</v>
      </c>
      <c r="J11" s="7">
        <f>'4 A'!V11+'4 B'!V11</f>
        <v>0</v>
      </c>
      <c r="K11" s="7">
        <f>'4 A'!W11+'4 B'!W11</f>
        <v>0</v>
      </c>
      <c r="L11" s="7">
        <f>'4 A'!X11+'4 B'!X11</f>
        <v>0</v>
      </c>
      <c r="M11" s="7">
        <f>'4 A'!Y11+'4 B'!Y11</f>
        <v>0</v>
      </c>
      <c r="N11" s="7">
        <f>'4 A'!Z11+'4 B'!Z11</f>
        <v>0</v>
      </c>
    </row>
    <row r="12" spans="1:26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6" ht="19.5" customHeight="1" x14ac:dyDescent="0.2">
      <c r="A13" s="14"/>
      <c r="B13" s="14" t="s">
        <v>15</v>
      </c>
      <c r="C13" s="7">
        <f>'4 A'!O13+'4 B'!O13</f>
        <v>0</v>
      </c>
      <c r="D13" s="7">
        <f>'4 A'!P13+'4 B'!P13</f>
        <v>0</v>
      </c>
      <c r="E13" s="7">
        <f>'4 A'!Q13+'4 B'!Q13</f>
        <v>0</v>
      </c>
      <c r="F13" s="7">
        <f>'4 A'!R13+'4 B'!R13</f>
        <v>0</v>
      </c>
      <c r="G13" s="7">
        <f>'4 A'!S13+'4 B'!S13</f>
        <v>0</v>
      </c>
      <c r="H13" s="7">
        <f>'4 A'!T13+'4 B'!T13</f>
        <v>0</v>
      </c>
      <c r="I13" s="7">
        <f>'4 A'!U13+'4 B'!U13</f>
        <v>0</v>
      </c>
      <c r="J13" s="7">
        <f>'4 A'!V13+'4 B'!V13</f>
        <v>0</v>
      </c>
      <c r="K13" s="7">
        <f>'4 A'!W13+'4 B'!W13</f>
        <v>0</v>
      </c>
      <c r="L13" s="7">
        <f>'4 A'!X13+'4 B'!X13</f>
        <v>0</v>
      </c>
      <c r="M13" s="7">
        <f>'4 A'!Y13+'4 B'!Y13</f>
        <v>0</v>
      </c>
      <c r="N13" s="7">
        <f>'4 A'!Z13+'4 B'!Z13</f>
        <v>0</v>
      </c>
    </row>
    <row r="14" spans="1:26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6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6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26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26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26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conditionalFormatting sqref="F1:F1048576">
    <cfRule type="cellIs" dxfId="15" priority="1" operator="equal">
      <formula>"H"</formula>
    </cfRule>
    <cfRule type="cellIs" dxfId="14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B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38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4" si="2">MID(B8,7,2)</f>
        <v/>
      </c>
      <c r="I8" s="2" t="e">
        <f t="shared" ref="I8:I34" si="3">MID(B8,5,2)+2000</f>
        <v>#VALUE!</v>
      </c>
      <c r="J8" s="12" t="e">
        <f t="shared" ref="J8:J34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4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ref="F35:F41" si="7">MID(B35,11,1)</f>
        <v/>
      </c>
      <c r="G35" s="2" t="str">
        <f t="shared" ref="G35:G41" si="8">MID(B35,9,2)</f>
        <v/>
      </c>
      <c r="H35" s="2" t="str">
        <f t="shared" ref="H35:H41" si="9">MID(B35,7,2)</f>
        <v/>
      </c>
      <c r="I35" s="2" t="e">
        <f t="shared" ref="I35:I41" si="10">MID(B35,5,2)+2000</f>
        <v>#VALUE!</v>
      </c>
      <c r="J35" s="12" t="e">
        <f t="shared" ref="J35:J41" si="11">DATE(I35,H35,G35)</f>
        <v>#VALUE!</v>
      </c>
      <c r="K35" s="13" t="e">
        <f t="shared" ref="K35:K41" si="12">DATEDIF(J35,$J$5,"Y")</f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si="7"/>
        <v/>
      </c>
      <c r="G36" s="2" t="str">
        <f t="shared" si="8"/>
        <v/>
      </c>
      <c r="H36" s="2" t="str">
        <f t="shared" si="9"/>
        <v/>
      </c>
      <c r="I36" s="2" t="e">
        <f t="shared" si="10"/>
        <v>#VALUE!</v>
      </c>
      <c r="J36" s="12" t="e">
        <f t="shared" si="11"/>
        <v>#VALUE!</v>
      </c>
      <c r="K36" s="13" t="e">
        <f t="shared" si="12"/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6"/>
      <c r="C38" s="57"/>
      <c r="D38" s="5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54"/>
      <c r="C39" s="55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C000000}"/>
  <conditionalFormatting sqref="F1:F1048576">
    <cfRule type="cellIs" dxfId="13" priority="1" operator="equal">
      <formula>"H"</formula>
    </cfRule>
    <cfRule type="cellIs" dxfId="12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C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7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2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2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7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7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66"/>
      <c r="B5" s="26"/>
      <c r="C5" s="27" t="s">
        <v>43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71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9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9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6" si="2">MID(B8,7,2)</f>
        <v/>
      </c>
      <c r="I8" s="2" t="e">
        <f t="shared" ref="I8:I36" si="3">MID(B8,5,2)+2000</f>
        <v>#VALUE!</v>
      </c>
      <c r="J8" s="12" t="e">
        <f t="shared" ref="J8:J36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9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6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9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9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9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9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9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9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9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9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9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9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9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9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9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9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9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9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9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9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9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9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9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9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9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9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9">
        <v>28</v>
      </c>
      <c r="B34" s="56"/>
      <c r="C34" s="57"/>
      <c r="D34" s="5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9">
        <v>29</v>
      </c>
      <c r="B35" s="56"/>
      <c r="C35" s="57"/>
      <c r="D35" s="51"/>
      <c r="E35" s="11"/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2" t="e">
        <f t="shared" si="3"/>
        <v>#VALUE!</v>
      </c>
      <c r="J35" s="12" t="e">
        <f t="shared" si="4"/>
        <v>#VALUE!</v>
      </c>
      <c r="K35" s="13" t="e">
        <f t="shared" si="5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9">
        <v>30</v>
      </c>
      <c r="B36" s="56"/>
      <c r="C36" s="57"/>
      <c r="D36" s="51"/>
      <c r="E36" s="11"/>
      <c r="F36" s="2" t="str">
        <f t="shared" ref="F36:F41" si="7">MID(B36,11,1)</f>
        <v/>
      </c>
      <c r="G36" s="2" t="str">
        <f t="shared" ref="G36:G41" si="8">MID(B36,9,2)</f>
        <v/>
      </c>
      <c r="H36" s="2" t="str">
        <f t="shared" ref="H36:H41" si="9">MID(B36,7,2)</f>
        <v/>
      </c>
      <c r="I36" s="2" t="e">
        <f t="shared" ref="I36:I41" si="10">MID(B36,5,2)+2000</f>
        <v>#VALUE!</v>
      </c>
      <c r="J36" s="12" t="e">
        <f t="shared" ref="J36:J41" si="11">DATE(I36,H36,G36)</f>
        <v>#VALUE!</v>
      </c>
      <c r="K36" s="13" t="e">
        <f t="shared" ref="K36:K41" si="12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9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9">
        <v>32</v>
      </c>
      <c r="B38" s="54"/>
      <c r="C38" s="55"/>
      <c r="D38" s="1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9">
        <v>33</v>
      </c>
      <c r="B39" s="40"/>
      <c r="C39" s="41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9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9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9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9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9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9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9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66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66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66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66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66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66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2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2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2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2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2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2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2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2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2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2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2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D000000}"/>
  <conditionalFormatting sqref="F1:F1048576">
    <cfRule type="cellIs" dxfId="11" priority="1" operator="equal">
      <formula>"H"</formula>
    </cfRule>
    <cfRule type="cellIs" dxfId="10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D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63"/>
  <sheetViews>
    <sheetView zoomScale="90" zoomScaleNormal="90" workbookViewId="0">
      <selection activeCell="B11" sqref="B11"/>
    </sheetView>
  </sheetViews>
  <sheetFormatPr defaultColWidth="11.43359375" defaultRowHeight="15" x14ac:dyDescent="0.2"/>
  <cols>
    <col min="1" max="1" width="2.95703125" style="1" customWidth="1"/>
    <col min="2" max="2" width="21.5234375" style="3" customWidth="1"/>
    <col min="3" max="3" width="5.648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14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14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52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6" ht="19.5" customHeight="1" x14ac:dyDescent="0.2">
      <c r="A7" s="14"/>
      <c r="B7" s="14" t="s">
        <v>13</v>
      </c>
      <c r="C7" s="7">
        <f>'5 A'!O7+'5 B'!O7</f>
        <v>0</v>
      </c>
      <c r="D7" s="7">
        <f>'5 A'!P7+'5 B'!P7</f>
        <v>0</v>
      </c>
      <c r="E7" s="7">
        <f>'5 A'!Q7+'5 B'!Q7</f>
        <v>0</v>
      </c>
      <c r="F7" s="7">
        <f>'5 A'!R7+'5 B'!R7</f>
        <v>0</v>
      </c>
      <c r="G7" s="7">
        <f>'5 A'!S7+'5 B'!S7</f>
        <v>0</v>
      </c>
      <c r="H7" s="7">
        <f>'5 A'!T7+'5 B'!T7</f>
        <v>0</v>
      </c>
      <c r="I7" s="7">
        <f>'5 A'!U7+'5 B'!U7</f>
        <v>0</v>
      </c>
      <c r="J7" s="7">
        <f>'5 A'!V7+'5 B'!V7</f>
        <v>0</v>
      </c>
      <c r="K7" s="7">
        <f>'5 A'!W7+'5 B'!W7</f>
        <v>0</v>
      </c>
      <c r="L7" s="7">
        <f>'5 A'!X7+'5 B'!X7</f>
        <v>0</v>
      </c>
      <c r="M7" s="7">
        <f>'5 A'!Y7+'5 B'!Y7</f>
        <v>0</v>
      </c>
      <c r="N7" s="7">
        <f>'5 A'!Z7+'5 B'!Z7</f>
        <v>0</v>
      </c>
    </row>
    <row r="8" spans="1:26" ht="19.5" customHeight="1" x14ac:dyDescent="0.2">
      <c r="A8" s="16" t="s">
        <v>5</v>
      </c>
      <c r="B8" s="14" t="s">
        <v>14</v>
      </c>
      <c r="C8" s="7">
        <f>'5 A'!O8+'5 B'!O8</f>
        <v>0</v>
      </c>
      <c r="D8" s="7">
        <f>'5 A'!P8+'5 B'!P8</f>
        <v>0</v>
      </c>
      <c r="E8" s="7">
        <f>'5 A'!Q8+'5 B'!Q8</f>
        <v>0</v>
      </c>
      <c r="F8" s="7">
        <f>'5 A'!R8+'5 B'!R8</f>
        <v>0</v>
      </c>
      <c r="G8" s="7">
        <f>'5 A'!S8+'5 B'!S8</f>
        <v>0</v>
      </c>
      <c r="H8" s="7">
        <f>'5 A'!T8+'5 B'!T8</f>
        <v>0</v>
      </c>
      <c r="I8" s="7">
        <f>'5 A'!U8+'5 B'!U8</f>
        <v>0</v>
      </c>
      <c r="J8" s="7">
        <f>'5 A'!V8+'5 B'!V8</f>
        <v>0</v>
      </c>
      <c r="K8" s="7">
        <f>'5 A'!W8+'5 B'!W8</f>
        <v>0</v>
      </c>
      <c r="L8" s="7">
        <f>'5 A'!X8+'5 B'!X8</f>
        <v>0</v>
      </c>
      <c r="M8" s="7">
        <f>'5 A'!Y8+'5 B'!Y8</f>
        <v>0</v>
      </c>
      <c r="N8" s="7">
        <f>'5 A'!Z8+'5 B'!Z8</f>
        <v>0</v>
      </c>
    </row>
    <row r="9" spans="1:26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6" ht="19.5" customHeight="1" x14ac:dyDescent="0.2">
      <c r="A10" s="14"/>
      <c r="B10" s="14" t="s">
        <v>13</v>
      </c>
      <c r="C10" s="7">
        <f>'5 A'!O10+'5 B'!O10</f>
        <v>0</v>
      </c>
      <c r="D10" s="7">
        <f>'5 A'!P10+'5 B'!P10</f>
        <v>0</v>
      </c>
      <c r="E10" s="7">
        <f>'5 A'!Q10+'5 B'!Q10</f>
        <v>0</v>
      </c>
      <c r="F10" s="7">
        <f>'5 A'!R10+'5 B'!R10</f>
        <v>0</v>
      </c>
      <c r="G10" s="7">
        <f>'5 A'!S10+'5 B'!S10</f>
        <v>0</v>
      </c>
      <c r="H10" s="7">
        <f>'5 A'!T10+'5 B'!T10</f>
        <v>0</v>
      </c>
      <c r="I10" s="7">
        <f>'5 A'!U10+'5 B'!U10</f>
        <v>0</v>
      </c>
      <c r="J10" s="7">
        <f>'5 A'!V10+'5 B'!V10</f>
        <v>0</v>
      </c>
      <c r="K10" s="7">
        <f>'5 A'!W10+'5 B'!W10</f>
        <v>0</v>
      </c>
      <c r="L10" s="7">
        <f>'5 A'!X10+'5 B'!X10</f>
        <v>0</v>
      </c>
      <c r="M10" s="7">
        <f>'5 A'!Y10+'5 B'!Y10</f>
        <v>0</v>
      </c>
      <c r="N10" s="7">
        <f>'5 A'!Z10+'5 B'!Z10</f>
        <v>0</v>
      </c>
    </row>
    <row r="11" spans="1:26" ht="19.5" customHeight="1" x14ac:dyDescent="0.2">
      <c r="A11" s="15" t="s">
        <v>6</v>
      </c>
      <c r="B11" s="14" t="s">
        <v>14</v>
      </c>
      <c r="C11" s="7">
        <f>'5 A'!O11+'5 B'!O11</f>
        <v>0</v>
      </c>
      <c r="D11" s="7">
        <f>'5 A'!P11+'5 B'!P11</f>
        <v>0</v>
      </c>
      <c r="E11" s="7">
        <f>'5 A'!Q11+'5 B'!Q11</f>
        <v>0</v>
      </c>
      <c r="F11" s="7">
        <f>'5 A'!R11+'5 B'!R11</f>
        <v>0</v>
      </c>
      <c r="G11" s="7">
        <f>'5 A'!S11+'5 B'!S11</f>
        <v>0</v>
      </c>
      <c r="H11" s="7">
        <f>'5 A'!T11+'5 B'!T11</f>
        <v>0</v>
      </c>
      <c r="I11" s="7">
        <f>'5 A'!U11+'5 B'!U11</f>
        <v>0</v>
      </c>
      <c r="J11" s="7">
        <f>'5 A'!V11+'5 B'!V11</f>
        <v>0</v>
      </c>
      <c r="K11" s="7">
        <f>'5 A'!W11+'5 B'!W11</f>
        <v>0</v>
      </c>
      <c r="L11" s="7">
        <f>'5 A'!X11+'5 B'!X11</f>
        <v>0</v>
      </c>
      <c r="M11" s="7">
        <f>'5 A'!Y11+'5 B'!Y11</f>
        <v>0</v>
      </c>
      <c r="N11" s="7">
        <f>'5 A'!Z11+'5 B'!Z11</f>
        <v>0</v>
      </c>
    </row>
    <row r="12" spans="1:26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6" ht="19.5" customHeight="1" x14ac:dyDescent="0.2">
      <c r="A13" s="14"/>
      <c r="B13" s="14" t="s">
        <v>15</v>
      </c>
      <c r="C13" s="7">
        <f>'5 A'!O13+'5 B'!O13</f>
        <v>0</v>
      </c>
      <c r="D13" s="7">
        <f>'5 A'!P13+'5 B'!P13</f>
        <v>0</v>
      </c>
      <c r="E13" s="7">
        <f>'5 A'!Q13+'5 B'!Q13</f>
        <v>0</v>
      </c>
      <c r="F13" s="7">
        <f>'5 A'!R13+'5 B'!R13</f>
        <v>0</v>
      </c>
      <c r="G13" s="7">
        <f>'5 A'!S13+'5 B'!S13</f>
        <v>0</v>
      </c>
      <c r="H13" s="7">
        <f>'5 A'!T13+'5 B'!T13</f>
        <v>0</v>
      </c>
      <c r="I13" s="7">
        <f>'5 A'!U13+'5 B'!U13</f>
        <v>0</v>
      </c>
      <c r="J13" s="7">
        <f>'5 A'!V13+'5 B'!V13</f>
        <v>0</v>
      </c>
      <c r="K13" s="7">
        <f>'5 A'!W13+'5 B'!W13</f>
        <v>0</v>
      </c>
      <c r="L13" s="7">
        <f>'5 A'!X13+'5 B'!X13</f>
        <v>0</v>
      </c>
      <c r="M13" s="7">
        <f>'5 A'!Y13+'5 B'!Y13</f>
        <v>0</v>
      </c>
      <c r="N13" s="7">
        <f>'5 A'!Z13+'5 B'!Z13</f>
        <v>0</v>
      </c>
    </row>
    <row r="14" spans="1:26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6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6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26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26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26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26" x14ac:dyDescent="0.2">
      <c r="A55" s="14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14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14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14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14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14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14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14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14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conditionalFormatting sqref="F1:F1048576">
    <cfRule type="cellIs" dxfId="9" priority="1" operator="equal">
      <formula>"H"</formula>
    </cfRule>
    <cfRule type="cellIs" dxfId="8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E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2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56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56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3" si="2">MID(B8,7,2)</f>
        <v/>
      </c>
      <c r="I8" s="2" t="e">
        <f t="shared" ref="I8:I33" si="3">MID(B8,5,2)+2000</f>
        <v>#VALUE!</v>
      </c>
      <c r="J8" s="12" t="e">
        <f t="shared" ref="J8:J33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56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3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56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56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56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56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56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56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56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56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56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56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56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56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56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56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56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56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56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56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56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56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56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56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56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56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56"/>
      <c r="C34" s="57"/>
      <c r="D34" s="51"/>
      <c r="E34" s="11"/>
      <c r="F34" s="2" t="str">
        <f t="shared" ref="F34:F41" si="7">MID(B34,11,1)</f>
        <v/>
      </c>
      <c r="G34" s="2" t="str">
        <f t="shared" ref="G34:G41" si="8">MID(B34,9,2)</f>
        <v/>
      </c>
      <c r="H34" s="2" t="str">
        <f t="shared" ref="H34:H41" si="9">MID(B34,7,2)</f>
        <v/>
      </c>
      <c r="I34" s="2" t="e">
        <f t="shared" ref="I34:I41" si="10">MID(B34,5,2)+2000</f>
        <v>#VALUE!</v>
      </c>
      <c r="J34" s="12" t="e">
        <f t="shared" ref="J34:J41" si="11">DATE(I34,H34,G34)</f>
        <v>#VALUE!</v>
      </c>
      <c r="K34" s="13" t="e">
        <f t="shared" ref="K34:K41" si="12">DATEDIF(J34,$J$5,"Y")</f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56"/>
      <c r="C35" s="57"/>
      <c r="D35" s="51"/>
      <c r="E35" s="11"/>
      <c r="F35" s="2" t="str">
        <f t="shared" si="7"/>
        <v/>
      </c>
      <c r="G35" s="2" t="str">
        <f t="shared" si="8"/>
        <v/>
      </c>
      <c r="H35" s="2" t="str">
        <f t="shared" si="9"/>
        <v/>
      </c>
      <c r="I35" s="2" t="e">
        <f t="shared" si="10"/>
        <v>#VALUE!</v>
      </c>
      <c r="J35" s="12" t="e">
        <f t="shared" si="11"/>
        <v>#VALUE!</v>
      </c>
      <c r="K35" s="13" t="e">
        <f t="shared" si="12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56"/>
      <c r="C36" s="57"/>
      <c r="D36" s="51"/>
      <c r="E36" s="11"/>
      <c r="F36" s="2" t="str">
        <f t="shared" si="7"/>
        <v/>
      </c>
      <c r="G36" s="2" t="str">
        <f t="shared" si="8"/>
        <v/>
      </c>
      <c r="H36" s="2" t="str">
        <f t="shared" si="9"/>
        <v/>
      </c>
      <c r="I36" s="2" t="e">
        <f t="shared" si="10"/>
        <v>#VALUE!</v>
      </c>
      <c r="J36" s="12" t="e">
        <f t="shared" si="11"/>
        <v>#VALUE!</v>
      </c>
      <c r="K36" s="13" t="e">
        <f t="shared" si="12"/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56"/>
      <c r="C37" s="57"/>
      <c r="D37" s="5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56"/>
      <c r="C38" s="57"/>
      <c r="D38" s="5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56"/>
      <c r="C39" s="57"/>
      <c r="D39" s="5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54"/>
      <c r="C40" s="55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0F000000}"/>
  <conditionalFormatting sqref="F1:F1048576">
    <cfRule type="cellIs" dxfId="7" priority="1" operator="equal">
      <formula>"H"</formula>
    </cfRule>
    <cfRule type="cellIs" dxfId="6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0F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63"/>
  <sheetViews>
    <sheetView zoomScale="90" zoomScaleNormal="90" workbookViewId="0">
      <selection activeCell="B7" sqref="B7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46.27343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45"/>
      <c r="M3" s="14" t="s">
        <v>31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45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68" t="s">
        <v>0</v>
      </c>
      <c r="B6" s="52" t="s">
        <v>3</v>
      </c>
      <c r="C6" s="53" t="s">
        <v>1</v>
      </c>
      <c r="D6" s="7"/>
      <c r="E6" s="7"/>
      <c r="F6" s="6" t="s">
        <v>4</v>
      </c>
      <c r="G6" s="6" t="s">
        <v>7</v>
      </c>
      <c r="H6" s="6" t="s">
        <v>8</v>
      </c>
      <c r="I6" s="6" t="s">
        <v>9</v>
      </c>
      <c r="J6" s="7" t="s">
        <v>11</v>
      </c>
      <c r="K6" s="6" t="s">
        <v>10</v>
      </c>
      <c r="L6" s="6" t="s">
        <v>27</v>
      </c>
      <c r="M6" s="14"/>
      <c r="N6" s="14"/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12</v>
      </c>
    </row>
    <row r="7" spans="1:26" ht="19.5" customHeight="1" x14ac:dyDescent="0.2">
      <c r="A7" s="58">
        <v>1</v>
      </c>
      <c r="B7" s="72"/>
      <c r="C7" s="57"/>
      <c r="D7" s="47"/>
      <c r="E7" s="8"/>
      <c r="F7" s="2" t="str">
        <f>MID(B7,11,1)</f>
        <v/>
      </c>
      <c r="G7" s="2" t="str">
        <f>MID(B7,9,2)</f>
        <v/>
      </c>
      <c r="H7" s="2" t="str">
        <f>MID(B7,7,2)</f>
        <v/>
      </c>
      <c r="I7" s="2" t="e">
        <f>MID(B7,5,2)+2000</f>
        <v>#VALUE!</v>
      </c>
      <c r="J7" s="12" t="e">
        <f>DATE(I7,H7,G7)</f>
        <v>#VALUE!</v>
      </c>
      <c r="K7" s="13" t="e">
        <f>DATEDIF(J7,$J$5,"Y")</f>
        <v>#VALUE!</v>
      </c>
      <c r="L7" s="44" t="s">
        <v>28</v>
      </c>
      <c r="M7" s="14"/>
      <c r="N7" s="14" t="s">
        <v>13</v>
      </c>
      <c r="O7" s="7">
        <f>COUNTIFS($F$7:$F$46,"H",$K$7:$K$46,5,$L$7:$L$46,"NO")</f>
        <v>0</v>
      </c>
      <c r="P7" s="7">
        <f>COUNTIFS($F$7:$F$46,"H",$K$7:$K$46,6,$L$7:$L$46,"NO")</f>
        <v>0</v>
      </c>
      <c r="Q7" s="7">
        <f>COUNTIFS($F$7:$F$46,"H",$K$7:$K$46,7,$L$7:$L$46,"NO")</f>
        <v>0</v>
      </c>
      <c r="R7" s="7">
        <f>COUNTIFS($F$7:$F$46,"H",$K$7:$K$46,8,$L$7:$L$46,"NO")</f>
        <v>0</v>
      </c>
      <c r="S7" s="7">
        <f>COUNTIFS($F$7:$F$46,"H",$K$7:$K$46,9,$L$7:$L$46,"NO")</f>
        <v>0</v>
      </c>
      <c r="T7" s="7">
        <f>COUNTIFS($F$7:$F$46,"H",$K$7:$K$46,10,$L$7:$L$46,"NO")</f>
        <v>0</v>
      </c>
      <c r="U7" s="7">
        <f>COUNTIFS($F$7:$F$46,"H",$K$7:$K$46,11,$L$7:$L$46,"NO")</f>
        <v>0</v>
      </c>
      <c r="V7" s="7">
        <f>COUNTIFS($F$7:$F$46,"H",$K$7:$K$46,12,$L$7:$L$46,"NO")</f>
        <v>0</v>
      </c>
      <c r="W7" s="7">
        <f>COUNTIFS($F$7:$F$46,"H",$K$7:$K$46,13,$L$7:$L$46,"NO")</f>
        <v>0</v>
      </c>
      <c r="X7" s="7">
        <f>COUNTIFS($F$7:$F$46,"H",$K$7:$K$46,14,$L$7:$L$46,"NO")</f>
        <v>0</v>
      </c>
      <c r="Y7" s="7">
        <f>COUNTIFS($F$7:$F$46,"H",$K$7:$K$46,15,$L$7:$L$46,"NO")</f>
        <v>0</v>
      </c>
      <c r="Z7" s="7">
        <f>SUM(O7:Y7)</f>
        <v>0</v>
      </c>
    </row>
    <row r="8" spans="1:26" ht="19.5" customHeight="1" x14ac:dyDescent="0.2">
      <c r="A8" s="58">
        <v>2</v>
      </c>
      <c r="B8" s="72"/>
      <c r="C8" s="57"/>
      <c r="D8" s="47"/>
      <c r="E8" s="8"/>
      <c r="F8" s="2" t="str">
        <f t="shared" ref="F8:F45" si="0">MID(B8,11,1)</f>
        <v/>
      </c>
      <c r="G8" s="2" t="str">
        <f t="shared" ref="G8:G46" si="1">MID(B8,9,2)</f>
        <v/>
      </c>
      <c r="H8" s="2" t="str">
        <f t="shared" ref="H8:H37" si="2">MID(B8,7,2)</f>
        <v/>
      </c>
      <c r="I8" s="2" t="e">
        <f t="shared" ref="I8:I37" si="3">MID(B8,5,2)+2000</f>
        <v>#VALUE!</v>
      </c>
      <c r="J8" s="12" t="e">
        <f t="shared" ref="J8:J37" si="4">DATE(I8,H8,G8)</f>
        <v>#VALUE!</v>
      </c>
      <c r="K8" s="13" t="e">
        <f>DATEDIF(J8,$J$5,"Y")</f>
        <v>#VALUE!</v>
      </c>
      <c r="L8" s="44" t="s">
        <v>28</v>
      </c>
      <c r="M8" s="16" t="s">
        <v>5</v>
      </c>
      <c r="N8" s="14" t="s">
        <v>14</v>
      </c>
      <c r="O8" s="7">
        <f>COUNTIFS($F$7:$F$46,"H",$K$7:$K$46,5,$L$7:$L$46,"SI")</f>
        <v>0</v>
      </c>
      <c r="P8" s="7">
        <f>COUNTIFS($F$7:$F$46,"H",$K$7:$K$46,6,$L$7:$L$46,"SI")</f>
        <v>0</v>
      </c>
      <c r="Q8" s="7">
        <f>COUNTIFS($F$7:$F$46,"H",$K$7:$K$46,7,$L$7:$L$46,"SI")</f>
        <v>0</v>
      </c>
      <c r="R8" s="7">
        <f>COUNTIFS($F$7:$F$46,"H",$K$7:$K$46,8,$L$7:$L$46,"SI")</f>
        <v>0</v>
      </c>
      <c r="S8" s="7">
        <f>COUNTIFS($F$7:$F$46,"H",$K$7:$K$46,9,$L$7:$L$46,"SI")</f>
        <v>0</v>
      </c>
      <c r="T8" s="7">
        <f>COUNTIFS($F$7:$F$46,"H",$K$7:$K$46,10,$L$7:$L$46,"SI")</f>
        <v>0</v>
      </c>
      <c r="U8" s="7">
        <f>COUNTIFS($F$7:$F$46,"H",$K$7:$K$46,11,$L$7:$L$46,"SI")</f>
        <v>0</v>
      </c>
      <c r="V8" s="7">
        <f>COUNTIFS($F$7:$F$46,"H",$K$7:$K$46,12,$L$7:$L$46,"SI")</f>
        <v>0</v>
      </c>
      <c r="W8" s="7">
        <f>COUNTIFS($F$7:$F$46,"H",$K$7:$K$46,13,$L$7:$L$46,"SI")</f>
        <v>0</v>
      </c>
      <c r="X8" s="7">
        <f>COUNTIFS($F$7:$F$46,"H",$K$7:$K$46,14,$L$7:$L$46,"SI")</f>
        <v>0</v>
      </c>
      <c r="Y8" s="7">
        <f>COUNTIFS($F$7:$F$46,"H",$K$7:$K$46,15,$L$7:$L$46,"SI")</f>
        <v>0</v>
      </c>
      <c r="Z8" s="7">
        <f>SUM(O8:Y8)</f>
        <v>0</v>
      </c>
    </row>
    <row r="9" spans="1:26" ht="19.5" customHeight="1" x14ac:dyDescent="0.2">
      <c r="A9" s="58">
        <v>3</v>
      </c>
      <c r="B9" s="72"/>
      <c r="C9" s="57"/>
      <c r="D9" s="47"/>
      <c r="E9" s="8"/>
      <c r="F9" s="2" t="str">
        <f t="shared" si="0"/>
        <v/>
      </c>
      <c r="G9" s="2" t="str">
        <f t="shared" si="1"/>
        <v/>
      </c>
      <c r="H9" s="2" t="str">
        <f t="shared" si="2"/>
        <v/>
      </c>
      <c r="I9" s="2" t="e">
        <f t="shared" si="3"/>
        <v>#VALUE!</v>
      </c>
      <c r="J9" s="12" t="e">
        <f t="shared" si="4"/>
        <v>#VALUE!</v>
      </c>
      <c r="K9" s="13" t="e">
        <f t="shared" ref="K9:K37" si="5">DATEDIF(J9,$J$5,"Y")</f>
        <v>#VALUE!</v>
      </c>
      <c r="L9" s="44" t="s">
        <v>28</v>
      </c>
      <c r="M9" s="14"/>
      <c r="N9" s="14"/>
      <c r="O9" s="17" t="s">
        <v>16</v>
      </c>
      <c r="P9" s="17" t="s">
        <v>17</v>
      </c>
      <c r="Q9" s="17" t="s">
        <v>18</v>
      </c>
      <c r="R9" s="17" t="s">
        <v>19</v>
      </c>
      <c r="S9" s="17" t="s">
        <v>20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17" t="s">
        <v>26</v>
      </c>
      <c r="Z9" s="18" t="s">
        <v>12</v>
      </c>
    </row>
    <row r="10" spans="1:26" ht="19.5" customHeight="1" x14ac:dyDescent="0.2">
      <c r="A10" s="58">
        <v>4</v>
      </c>
      <c r="B10" s="72"/>
      <c r="C10" s="57"/>
      <c r="D10" s="48"/>
      <c r="E10" s="9"/>
      <c r="F10" s="2" t="str">
        <f t="shared" si="0"/>
        <v/>
      </c>
      <c r="G10" s="2" t="str">
        <f t="shared" si="1"/>
        <v/>
      </c>
      <c r="H10" s="2" t="str">
        <f t="shared" si="2"/>
        <v/>
      </c>
      <c r="I10" s="2" t="e">
        <f t="shared" si="3"/>
        <v>#VALUE!</v>
      </c>
      <c r="J10" s="12" t="e">
        <f t="shared" si="4"/>
        <v>#VALUE!</v>
      </c>
      <c r="K10" s="13" t="e">
        <f t="shared" si="5"/>
        <v>#VALUE!</v>
      </c>
      <c r="L10" s="44" t="s">
        <v>28</v>
      </c>
      <c r="M10" s="14"/>
      <c r="N10" s="14" t="s">
        <v>13</v>
      </c>
      <c r="O10" s="7">
        <f>COUNTIFS($F$7:$F$46,"M",$K$7:$K$46,5,$L$7:$L$46,"NO")</f>
        <v>0</v>
      </c>
      <c r="P10" s="7">
        <f>COUNTIFS($F$7:$F$46,"M",$K$7:$K$46,6,$L$7:$L$46,"NO")</f>
        <v>0</v>
      </c>
      <c r="Q10" s="7">
        <f>COUNTIFS($F$7:$F$46,"M",$K$7:$K$46,7,$L$7:$L$46,"NO")</f>
        <v>0</v>
      </c>
      <c r="R10" s="7">
        <f>COUNTIFS($F$7:$F$46,"M",$K$7:$K$46,8,$L$7:$L$46,"NO")</f>
        <v>0</v>
      </c>
      <c r="S10" s="7">
        <f>COUNTIFS($F$7:$F$46,"M",$K$7:$K$46,9,$L$7:$L$46,"NO")</f>
        <v>0</v>
      </c>
      <c r="T10" s="7">
        <f>COUNTIFS($F$7:$F$46,"M",$K$7:$K$46,10,$L$7:$L$46,"NO")</f>
        <v>0</v>
      </c>
      <c r="U10" s="7">
        <f>COUNTIFS($F$7:$F$46,"M",$K$7:$K$46,11,$L$7:$L$46,"NO")</f>
        <v>0</v>
      </c>
      <c r="V10" s="7">
        <f>COUNTIFS($F$7:$F$46,"M",$K$7:$K$46,12,$L$7:$L$46,"NO")</f>
        <v>0</v>
      </c>
      <c r="W10" s="7">
        <f>COUNTIFS($F$7:$F$46,"M",$K$7:$K$46,13,$L$7:$L$46,"NO")</f>
        <v>0</v>
      </c>
      <c r="X10" s="7">
        <f>COUNTIFS($F$7:$F$46,"M",$K$7:$K$46,14,$L$7:$L$46,"NO")</f>
        <v>0</v>
      </c>
      <c r="Y10" s="7">
        <f>COUNTIFS($F$7:$F$46,"M",$K$7:$K$46,15,$L$7:$L$46,"NO")</f>
        <v>0</v>
      </c>
      <c r="Z10" s="7">
        <f>SUM(O10:Y10)</f>
        <v>0</v>
      </c>
    </row>
    <row r="11" spans="1:26" ht="19.5" customHeight="1" x14ac:dyDescent="0.2">
      <c r="A11" s="58">
        <v>5</v>
      </c>
      <c r="B11" s="72"/>
      <c r="C11" s="57"/>
      <c r="D11" s="47"/>
      <c r="E11" s="8"/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2" t="e">
        <f t="shared" si="3"/>
        <v>#VALUE!</v>
      </c>
      <c r="J11" s="12" t="e">
        <f t="shared" si="4"/>
        <v>#VALUE!</v>
      </c>
      <c r="K11" s="13" t="e">
        <f t="shared" si="5"/>
        <v>#VALUE!</v>
      </c>
      <c r="L11" s="44" t="s">
        <v>28</v>
      </c>
      <c r="M11" s="15" t="s">
        <v>6</v>
      </c>
      <c r="N11" s="14" t="s">
        <v>14</v>
      </c>
      <c r="O11" s="7">
        <f>COUNTIFS($F$7:$F$46,"M",$K$7:$K$46,5,$L$7:$L$46,"SI")</f>
        <v>0</v>
      </c>
      <c r="P11" s="7">
        <f>COUNTIFS($F$7:$F$46,"M",$K$7:$K$46,6,$L$7:$L$46,"SI")</f>
        <v>0</v>
      </c>
      <c r="Q11" s="7">
        <f>COUNTIFS($F$7:$F$46,"M",$K$7:$K$46,7,$L$7:$L$46,"SI")</f>
        <v>0</v>
      </c>
      <c r="R11" s="7">
        <f>COUNTIFS($F$7:$F$46,"M",$K$7:$K$46,8,$L$7:$L$46,"SI")</f>
        <v>0</v>
      </c>
      <c r="S11" s="7">
        <f>COUNTIFS($F$7:$F$46,"M",$K$7:$K$46,9,$L$7:$L$46,"SI")</f>
        <v>0</v>
      </c>
      <c r="T11" s="7">
        <f>COUNTIFS($F$7:$F$46,"M",$K$7:$K$46,10,$L$7:$L$46,"SI")</f>
        <v>0</v>
      </c>
      <c r="U11" s="7">
        <f>COUNTIFS($F$7:$F$46,"M",$K$7:$K$46,11,$L$7:$L$46,"SI")</f>
        <v>0</v>
      </c>
      <c r="V11" s="7">
        <f>COUNTIFS($F$7:$F$46,"M",$K$7:$K$46,12,$L$7:$L$46,"SI")</f>
        <v>0</v>
      </c>
      <c r="W11" s="7">
        <f>COUNTIFS($F$7:$F$46,"M",$K$7:$K$46,13,$L$7:$L$46,"SI")</f>
        <v>0</v>
      </c>
      <c r="X11" s="7">
        <f>COUNTIFS($F$7:$F$46,"M",$K$7:$K$46,14,$L$7:$L$46,"SI")</f>
        <v>0</v>
      </c>
      <c r="Y11" s="7">
        <f>COUNTIFS($F$7:$F$46,"M",$K$7:$K$46,15,$L$7:$L$46,"SI")</f>
        <v>0</v>
      </c>
      <c r="Z11" s="7">
        <f>SUM(O11:Y11)</f>
        <v>0</v>
      </c>
    </row>
    <row r="12" spans="1:26" ht="19.5" customHeight="1" x14ac:dyDescent="0.2">
      <c r="A12" s="58">
        <v>6</v>
      </c>
      <c r="B12" s="72"/>
      <c r="C12" s="57"/>
      <c r="D12" s="47"/>
      <c r="E12" s="8"/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2" t="e">
        <f t="shared" si="3"/>
        <v>#VALUE!</v>
      </c>
      <c r="J12" s="12" t="e">
        <f t="shared" si="4"/>
        <v>#VALUE!</v>
      </c>
      <c r="K12" s="13" t="e">
        <f t="shared" si="5"/>
        <v>#VALUE!</v>
      </c>
      <c r="L12" s="44" t="s">
        <v>28</v>
      </c>
      <c r="M12" s="14"/>
      <c r="N12" s="1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58">
        <v>7</v>
      </c>
      <c r="B13" s="72"/>
      <c r="C13" s="57"/>
      <c r="D13" s="47"/>
      <c r="E13" s="8"/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2" t="e">
        <f t="shared" si="3"/>
        <v>#VALUE!</v>
      </c>
      <c r="J13" s="12" t="e">
        <f t="shared" si="4"/>
        <v>#VALUE!</v>
      </c>
      <c r="K13" s="13" t="e">
        <f t="shared" si="5"/>
        <v>#VALUE!</v>
      </c>
      <c r="L13" s="44" t="s">
        <v>28</v>
      </c>
      <c r="M13" s="14"/>
      <c r="N13" s="14" t="s">
        <v>15</v>
      </c>
      <c r="O13" s="6">
        <f>SUM(O7:O11)</f>
        <v>0</v>
      </c>
      <c r="P13" s="6">
        <f t="shared" ref="P13:Y13" si="6">SUM(P7:P11)</f>
        <v>0</v>
      </c>
      <c r="Q13" s="6">
        <f t="shared" si="6"/>
        <v>0</v>
      </c>
      <c r="R13" s="6">
        <f t="shared" si="6"/>
        <v>0</v>
      </c>
      <c r="S13" s="6">
        <f t="shared" si="6"/>
        <v>0</v>
      </c>
      <c r="T13" s="6">
        <f t="shared" si="6"/>
        <v>0</v>
      </c>
      <c r="U13" s="6">
        <f t="shared" si="6"/>
        <v>0</v>
      </c>
      <c r="V13" s="6">
        <f t="shared" si="6"/>
        <v>0</v>
      </c>
      <c r="W13" s="6">
        <f t="shared" si="6"/>
        <v>0</v>
      </c>
      <c r="X13" s="6">
        <f t="shared" si="6"/>
        <v>0</v>
      </c>
      <c r="Y13" s="6">
        <f t="shared" si="6"/>
        <v>0</v>
      </c>
      <c r="Z13" s="7">
        <f>SUM(O13:Y13)</f>
        <v>0</v>
      </c>
    </row>
    <row r="14" spans="1:26" ht="19.5" customHeight="1" x14ac:dyDescent="0.2">
      <c r="A14" s="58">
        <v>8</v>
      </c>
      <c r="B14" s="72"/>
      <c r="C14" s="57"/>
      <c r="D14" s="47"/>
      <c r="E14" s="8"/>
      <c r="F14" s="2" t="str">
        <f t="shared" si="0"/>
        <v/>
      </c>
      <c r="G14" s="2" t="str">
        <f t="shared" si="1"/>
        <v/>
      </c>
      <c r="H14" s="2" t="str">
        <f t="shared" si="2"/>
        <v/>
      </c>
      <c r="I14" s="2" t="e">
        <f t="shared" si="3"/>
        <v>#VALUE!</v>
      </c>
      <c r="J14" s="12" t="e">
        <f t="shared" si="4"/>
        <v>#VALUE!</v>
      </c>
      <c r="K14" s="13" t="e">
        <f t="shared" si="5"/>
        <v>#VALUE!</v>
      </c>
      <c r="L14" s="44" t="s">
        <v>28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9.5" customHeight="1" x14ac:dyDescent="0.2">
      <c r="A15" s="58">
        <v>9</v>
      </c>
      <c r="B15" s="72"/>
      <c r="C15" s="57"/>
      <c r="D15" s="47"/>
      <c r="E15" s="8"/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2" t="e">
        <f t="shared" si="3"/>
        <v>#VALUE!</v>
      </c>
      <c r="J15" s="12" t="e">
        <f t="shared" si="4"/>
        <v>#VALUE!</v>
      </c>
      <c r="K15" s="13" t="e">
        <f t="shared" si="5"/>
        <v>#VALUE!</v>
      </c>
      <c r="L15" s="44" t="s">
        <v>28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9.5" customHeight="1" x14ac:dyDescent="0.2">
      <c r="A16" s="58">
        <v>10</v>
      </c>
      <c r="B16" s="72"/>
      <c r="C16" s="57"/>
      <c r="D16" s="47"/>
      <c r="E16" s="8"/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2" t="e">
        <f t="shared" si="3"/>
        <v>#VALUE!</v>
      </c>
      <c r="J16" s="12" t="e">
        <f t="shared" si="4"/>
        <v>#VALUE!</v>
      </c>
      <c r="K16" s="13" t="e">
        <f t="shared" si="5"/>
        <v>#VALUE!</v>
      </c>
      <c r="L16" s="44" t="s">
        <v>28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9.5" customHeight="1" x14ac:dyDescent="0.2">
      <c r="A17" s="58">
        <v>11</v>
      </c>
      <c r="B17" s="72"/>
      <c r="C17" s="57"/>
      <c r="D17" s="47"/>
      <c r="E17" s="8"/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2" t="e">
        <f t="shared" si="3"/>
        <v>#VALUE!</v>
      </c>
      <c r="J17" s="12" t="e">
        <f t="shared" si="4"/>
        <v>#VALUE!</v>
      </c>
      <c r="K17" s="13" t="e">
        <f t="shared" si="5"/>
        <v>#VALUE!</v>
      </c>
      <c r="L17" s="44" t="s">
        <v>28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9.5" customHeight="1" x14ac:dyDescent="0.2">
      <c r="A18" s="58">
        <v>12</v>
      </c>
      <c r="B18" s="72"/>
      <c r="C18" s="57"/>
      <c r="D18" s="47"/>
      <c r="E18" s="8"/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2" t="e">
        <f t="shared" si="3"/>
        <v>#VALUE!</v>
      </c>
      <c r="J18" s="12" t="e">
        <f t="shared" si="4"/>
        <v>#VALUE!</v>
      </c>
      <c r="K18" s="13" t="e">
        <f t="shared" si="5"/>
        <v>#VALUE!</v>
      </c>
      <c r="L18" s="44" t="s">
        <v>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.5" customHeight="1" x14ac:dyDescent="0.2">
      <c r="A19" s="58">
        <v>13</v>
      </c>
      <c r="B19" s="72"/>
      <c r="C19" s="57"/>
      <c r="D19" s="49"/>
      <c r="E19" s="8"/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2" t="e">
        <f t="shared" si="3"/>
        <v>#VALUE!</v>
      </c>
      <c r="J19" s="12" t="e">
        <f t="shared" si="4"/>
        <v>#VALUE!</v>
      </c>
      <c r="K19" s="13" t="e">
        <f t="shared" si="5"/>
        <v>#VALUE!</v>
      </c>
      <c r="L19" s="44" t="s">
        <v>28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9.5" customHeight="1" x14ac:dyDescent="0.2">
      <c r="A20" s="58">
        <v>14</v>
      </c>
      <c r="B20" s="72"/>
      <c r="C20" s="57"/>
      <c r="D20" s="47"/>
      <c r="E20" s="8"/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2" t="e">
        <f t="shared" si="3"/>
        <v>#VALUE!</v>
      </c>
      <c r="J20" s="12" t="e">
        <f t="shared" si="4"/>
        <v>#VALUE!</v>
      </c>
      <c r="K20" s="13" t="e">
        <f t="shared" si="5"/>
        <v>#VALUE!</v>
      </c>
      <c r="L20" s="44" t="s">
        <v>28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9.5" customHeight="1" x14ac:dyDescent="0.2">
      <c r="A21" s="58">
        <v>15</v>
      </c>
      <c r="B21" s="72"/>
      <c r="C21" s="57"/>
      <c r="D21" s="47"/>
      <c r="E21" s="8"/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2" t="e">
        <f t="shared" si="3"/>
        <v>#VALUE!</v>
      </c>
      <c r="J21" s="12" t="e">
        <f t="shared" si="4"/>
        <v>#VALUE!</v>
      </c>
      <c r="K21" s="13" t="e">
        <f t="shared" si="5"/>
        <v>#VALUE!</v>
      </c>
      <c r="L21" s="44" t="s">
        <v>28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58">
        <v>16</v>
      </c>
      <c r="B22" s="72"/>
      <c r="C22" s="57"/>
      <c r="D22" s="47"/>
      <c r="E22" s="8"/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2" t="e">
        <f t="shared" si="3"/>
        <v>#VALUE!</v>
      </c>
      <c r="J22" s="12" t="e">
        <f t="shared" si="4"/>
        <v>#VALUE!</v>
      </c>
      <c r="K22" s="13" t="e">
        <f t="shared" si="5"/>
        <v>#VALUE!</v>
      </c>
      <c r="L22" s="44" t="s">
        <v>28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9.5" customHeight="1" x14ac:dyDescent="0.2">
      <c r="A23" s="58">
        <v>17</v>
      </c>
      <c r="B23" s="72"/>
      <c r="C23" s="57"/>
      <c r="D23" s="47"/>
      <c r="E23" s="8"/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2" t="e">
        <f t="shared" si="3"/>
        <v>#VALUE!</v>
      </c>
      <c r="J23" s="12" t="e">
        <f t="shared" si="4"/>
        <v>#VALUE!</v>
      </c>
      <c r="K23" s="13" t="e">
        <f t="shared" si="5"/>
        <v>#VALUE!</v>
      </c>
      <c r="L23" s="44" t="s">
        <v>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9.5" customHeight="1" x14ac:dyDescent="0.2">
      <c r="A24" s="58">
        <v>18</v>
      </c>
      <c r="B24" s="72"/>
      <c r="C24" s="57"/>
      <c r="D24" s="47"/>
      <c r="E24" s="8"/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2" t="e">
        <f t="shared" si="3"/>
        <v>#VALUE!</v>
      </c>
      <c r="J24" s="12" t="e">
        <f t="shared" si="4"/>
        <v>#VALUE!</v>
      </c>
      <c r="K24" s="13" t="e">
        <f t="shared" si="5"/>
        <v>#VALUE!</v>
      </c>
      <c r="L24" s="44" t="s">
        <v>28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9.5" customHeight="1" x14ac:dyDescent="0.2">
      <c r="A25" s="58">
        <v>19</v>
      </c>
      <c r="B25" s="72"/>
      <c r="C25" s="57"/>
      <c r="D25" s="50"/>
      <c r="E25" s="10"/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2" t="e">
        <f t="shared" si="3"/>
        <v>#VALUE!</v>
      </c>
      <c r="J25" s="12" t="e">
        <f t="shared" si="4"/>
        <v>#VALUE!</v>
      </c>
      <c r="K25" s="13" t="e">
        <f t="shared" si="5"/>
        <v>#VALUE!</v>
      </c>
      <c r="L25" s="44" t="s">
        <v>28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9.5" customHeight="1" x14ac:dyDescent="0.2">
      <c r="A26" s="58">
        <v>20</v>
      </c>
      <c r="B26" s="72"/>
      <c r="C26" s="57"/>
      <c r="D26" s="47"/>
      <c r="E26" s="8"/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2" t="e">
        <f t="shared" si="3"/>
        <v>#VALUE!</v>
      </c>
      <c r="J26" s="12" t="e">
        <f t="shared" si="4"/>
        <v>#VALUE!</v>
      </c>
      <c r="K26" s="13" t="e">
        <f t="shared" si="5"/>
        <v>#VALUE!</v>
      </c>
      <c r="L26" s="44" t="s">
        <v>28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9.5" customHeight="1" x14ac:dyDescent="0.2">
      <c r="A27" s="58">
        <v>21</v>
      </c>
      <c r="B27" s="72"/>
      <c r="C27" s="57"/>
      <c r="D27" s="47"/>
      <c r="E27" s="8"/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2" t="e">
        <f t="shared" si="3"/>
        <v>#VALUE!</v>
      </c>
      <c r="J27" s="12" t="e">
        <f t="shared" si="4"/>
        <v>#VALUE!</v>
      </c>
      <c r="K27" s="13" t="e">
        <f t="shared" si="5"/>
        <v>#VALUE!</v>
      </c>
      <c r="L27" s="44" t="s">
        <v>28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9.5" customHeight="1" x14ac:dyDescent="0.2">
      <c r="A28" s="58">
        <v>22</v>
      </c>
      <c r="B28" s="72"/>
      <c r="C28" s="57"/>
      <c r="D28" s="47"/>
      <c r="E28" s="8"/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2" t="e">
        <f t="shared" si="3"/>
        <v>#VALUE!</v>
      </c>
      <c r="J28" s="12" t="e">
        <f t="shared" si="4"/>
        <v>#VALUE!</v>
      </c>
      <c r="K28" s="13" t="e">
        <f t="shared" si="5"/>
        <v>#VALUE!</v>
      </c>
      <c r="L28" s="44" t="s">
        <v>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9.5" customHeight="1" x14ac:dyDescent="0.2">
      <c r="A29" s="58">
        <v>23</v>
      </c>
      <c r="B29" s="72"/>
      <c r="C29" s="57"/>
      <c r="D29" s="47"/>
      <c r="E29" s="8"/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2" t="e">
        <f t="shared" si="3"/>
        <v>#VALUE!</v>
      </c>
      <c r="J29" s="12" t="e">
        <f t="shared" si="4"/>
        <v>#VALUE!</v>
      </c>
      <c r="K29" s="13" t="e">
        <f t="shared" si="5"/>
        <v>#VALUE!</v>
      </c>
      <c r="L29" s="44" t="s">
        <v>28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9.5" customHeight="1" x14ac:dyDescent="0.2">
      <c r="A30" s="58">
        <v>24</v>
      </c>
      <c r="B30" s="72"/>
      <c r="C30" s="57"/>
      <c r="D30" s="51"/>
      <c r="E30" s="11"/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2" t="e">
        <f t="shared" si="3"/>
        <v>#VALUE!</v>
      </c>
      <c r="J30" s="12" t="e">
        <f t="shared" si="4"/>
        <v>#VALUE!</v>
      </c>
      <c r="K30" s="13" t="e">
        <f t="shared" si="5"/>
        <v>#VALUE!</v>
      </c>
      <c r="L30" s="44" t="s">
        <v>28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9.5" customHeight="1" x14ac:dyDescent="0.2">
      <c r="A31" s="58">
        <v>25</v>
      </c>
      <c r="B31" s="72"/>
      <c r="C31" s="57"/>
      <c r="D31" s="51"/>
      <c r="E31" s="11"/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2" t="e">
        <f t="shared" si="3"/>
        <v>#VALUE!</v>
      </c>
      <c r="J31" s="12" t="e">
        <f t="shared" si="4"/>
        <v>#VALUE!</v>
      </c>
      <c r="K31" s="13" t="e">
        <f t="shared" si="5"/>
        <v>#VALUE!</v>
      </c>
      <c r="L31" s="44" t="s">
        <v>28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9.5" customHeight="1" x14ac:dyDescent="0.2">
      <c r="A32" s="58">
        <v>26</v>
      </c>
      <c r="B32" s="72"/>
      <c r="C32" s="57"/>
      <c r="D32" s="51"/>
      <c r="E32" s="11"/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2" t="e">
        <f t="shared" si="3"/>
        <v>#VALUE!</v>
      </c>
      <c r="J32" s="12" t="e">
        <f t="shared" si="4"/>
        <v>#VALUE!</v>
      </c>
      <c r="K32" s="13" t="e">
        <f t="shared" si="5"/>
        <v>#VALUE!</v>
      </c>
      <c r="L32" s="44" t="s">
        <v>28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9.5" customHeight="1" x14ac:dyDescent="0.2">
      <c r="A33" s="58">
        <v>27</v>
      </c>
      <c r="B33" s="72"/>
      <c r="C33" s="57"/>
      <c r="D33" s="51"/>
      <c r="E33" s="11"/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2" t="e">
        <f t="shared" si="3"/>
        <v>#VALUE!</v>
      </c>
      <c r="J33" s="12" t="e">
        <f t="shared" si="4"/>
        <v>#VALUE!</v>
      </c>
      <c r="K33" s="13" t="e">
        <f t="shared" si="5"/>
        <v>#VALUE!</v>
      </c>
      <c r="L33" s="44" t="s">
        <v>28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9.5" customHeight="1" x14ac:dyDescent="0.2">
      <c r="A34" s="58">
        <v>28</v>
      </c>
      <c r="B34" s="73"/>
      <c r="C34" s="69"/>
      <c r="D34" s="11"/>
      <c r="E34" s="11"/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2" t="e">
        <f t="shared" si="3"/>
        <v>#VALUE!</v>
      </c>
      <c r="J34" s="12" t="e">
        <f t="shared" si="4"/>
        <v>#VALUE!</v>
      </c>
      <c r="K34" s="13" t="e">
        <f t="shared" si="5"/>
        <v>#VALUE!</v>
      </c>
      <c r="L34" s="44" t="s">
        <v>28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9.5" customHeight="1" x14ac:dyDescent="0.2">
      <c r="A35" s="58">
        <v>29</v>
      </c>
      <c r="B35" s="74"/>
      <c r="C35" s="75"/>
      <c r="D35" s="11"/>
      <c r="E35" s="11"/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2" t="e">
        <f t="shared" si="3"/>
        <v>#VALUE!</v>
      </c>
      <c r="J35" s="12" t="e">
        <f t="shared" si="4"/>
        <v>#VALUE!</v>
      </c>
      <c r="K35" s="13" t="e">
        <f t="shared" si="5"/>
        <v>#VALUE!</v>
      </c>
      <c r="L35" s="44" t="s">
        <v>28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9.5" customHeight="1" x14ac:dyDescent="0.2">
      <c r="A36" s="58">
        <v>30</v>
      </c>
      <c r="B36" s="74"/>
      <c r="C36" s="75"/>
      <c r="D36" s="11"/>
      <c r="E36" s="11"/>
      <c r="F36" s="2" t="str">
        <f t="shared" ref="F36:F41" si="7">MID(B36,11,1)</f>
        <v/>
      </c>
      <c r="G36" s="2" t="str">
        <f t="shared" ref="G36:G41" si="8">MID(B36,9,2)</f>
        <v/>
      </c>
      <c r="H36" s="2" t="str">
        <f t="shared" ref="H36:H41" si="9">MID(B36,7,2)</f>
        <v/>
      </c>
      <c r="I36" s="2" t="e">
        <f t="shared" ref="I36:I41" si="10">MID(B36,5,2)+2000</f>
        <v>#VALUE!</v>
      </c>
      <c r="J36" s="12" t="e">
        <f t="shared" ref="J36:J41" si="11">DATE(I36,H36,G36)</f>
        <v>#VALUE!</v>
      </c>
      <c r="K36" s="13" t="e">
        <f t="shared" ref="K36:K41" si="12">DATEDIF(J36,$J$5,"Y")</f>
        <v>#VALUE!</v>
      </c>
      <c r="L36" s="44" t="s">
        <v>28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9.5" customHeight="1" x14ac:dyDescent="0.2">
      <c r="A37" s="58">
        <v>31</v>
      </c>
      <c r="B37" s="74"/>
      <c r="C37" s="75"/>
      <c r="D37" s="11"/>
      <c r="E37" s="11"/>
      <c r="F37" s="2" t="str">
        <f t="shared" si="7"/>
        <v/>
      </c>
      <c r="G37" s="2" t="str">
        <f t="shared" si="8"/>
        <v/>
      </c>
      <c r="H37" s="2" t="str">
        <f t="shared" si="9"/>
        <v/>
      </c>
      <c r="I37" s="2" t="e">
        <f t="shared" si="10"/>
        <v>#VALUE!</v>
      </c>
      <c r="J37" s="12" t="e">
        <f t="shared" si="11"/>
        <v>#VALUE!</v>
      </c>
      <c r="K37" s="13" t="e">
        <f t="shared" si="12"/>
        <v>#VALUE!</v>
      </c>
      <c r="L37" s="44" t="s">
        <v>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9.5" customHeight="1" x14ac:dyDescent="0.2">
      <c r="A38" s="58">
        <v>32</v>
      </c>
      <c r="B38" s="74"/>
      <c r="C38" s="75"/>
      <c r="D38" s="11"/>
      <c r="E38" s="11"/>
      <c r="F38" s="2" t="str">
        <f t="shared" si="7"/>
        <v/>
      </c>
      <c r="G38" s="2" t="str">
        <f t="shared" si="8"/>
        <v/>
      </c>
      <c r="H38" s="2" t="str">
        <f t="shared" si="9"/>
        <v/>
      </c>
      <c r="I38" s="2" t="e">
        <f t="shared" si="10"/>
        <v>#VALUE!</v>
      </c>
      <c r="J38" s="12" t="e">
        <f t="shared" si="11"/>
        <v>#VALUE!</v>
      </c>
      <c r="K38" s="13" t="e">
        <f t="shared" si="12"/>
        <v>#VALUE!</v>
      </c>
      <c r="L38" s="44" t="s">
        <v>28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9.5" customHeight="1" x14ac:dyDescent="0.2">
      <c r="A39" s="58">
        <v>33</v>
      </c>
      <c r="B39" s="74"/>
      <c r="C39" s="75"/>
      <c r="D39" s="11"/>
      <c r="E39" s="11"/>
      <c r="F39" s="2" t="str">
        <f t="shared" si="7"/>
        <v/>
      </c>
      <c r="G39" s="2" t="str">
        <f t="shared" si="8"/>
        <v/>
      </c>
      <c r="H39" s="2" t="str">
        <f t="shared" si="9"/>
        <v/>
      </c>
      <c r="I39" s="2" t="e">
        <f t="shared" si="10"/>
        <v>#VALUE!</v>
      </c>
      <c r="J39" s="12" t="e">
        <f t="shared" si="11"/>
        <v>#VALUE!</v>
      </c>
      <c r="K39" s="13" t="e">
        <f t="shared" si="12"/>
        <v>#VALUE!</v>
      </c>
      <c r="L39" s="44" t="s">
        <v>28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9.5" customHeight="1" x14ac:dyDescent="0.2">
      <c r="A40" s="58">
        <v>34</v>
      </c>
      <c r="B40" s="40"/>
      <c r="C40" s="41"/>
      <c r="D40" s="11"/>
      <c r="E40" s="11"/>
      <c r="F40" s="2" t="str">
        <f t="shared" si="7"/>
        <v/>
      </c>
      <c r="G40" s="2" t="str">
        <f t="shared" si="8"/>
        <v/>
      </c>
      <c r="H40" s="2" t="str">
        <f t="shared" si="9"/>
        <v/>
      </c>
      <c r="I40" s="2" t="e">
        <f t="shared" si="10"/>
        <v>#VALUE!</v>
      </c>
      <c r="J40" s="12" t="e">
        <f t="shared" si="11"/>
        <v>#VALUE!</v>
      </c>
      <c r="K40" s="13" t="e">
        <f t="shared" si="12"/>
        <v>#VALUE!</v>
      </c>
      <c r="L40" s="44" t="s">
        <v>28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9.5" customHeight="1" x14ac:dyDescent="0.2">
      <c r="A41" s="58">
        <v>35</v>
      </c>
      <c r="B41" s="40"/>
      <c r="C41" s="41"/>
      <c r="D41" s="11"/>
      <c r="E41" s="11"/>
      <c r="F41" s="2" t="str">
        <f t="shared" si="7"/>
        <v/>
      </c>
      <c r="G41" s="2" t="str">
        <f t="shared" si="8"/>
        <v/>
      </c>
      <c r="H41" s="2" t="str">
        <f t="shared" si="9"/>
        <v/>
      </c>
      <c r="I41" s="2" t="e">
        <f t="shared" si="10"/>
        <v>#VALUE!</v>
      </c>
      <c r="J41" s="12" t="e">
        <f t="shared" si="11"/>
        <v>#VALUE!</v>
      </c>
      <c r="K41" s="13" t="e">
        <f t="shared" si="12"/>
        <v>#VALUE!</v>
      </c>
      <c r="L41" s="44" t="s">
        <v>28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9.5" customHeight="1" x14ac:dyDescent="0.2">
      <c r="A42" s="58">
        <v>36</v>
      </c>
      <c r="B42" s="40"/>
      <c r="C42" s="41"/>
      <c r="D42" s="11"/>
      <c r="E42" s="11"/>
      <c r="F42" s="2" t="str">
        <f t="shared" si="0"/>
        <v/>
      </c>
      <c r="G42" s="2" t="str">
        <f t="shared" si="1"/>
        <v/>
      </c>
      <c r="H42" s="2"/>
      <c r="I42" s="2"/>
      <c r="J42" s="12"/>
      <c r="K42" s="13"/>
      <c r="L42" s="4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9.5" customHeight="1" x14ac:dyDescent="0.2">
      <c r="A43" s="58">
        <v>37</v>
      </c>
      <c r="B43" s="40"/>
      <c r="C43" s="41"/>
      <c r="D43" s="11"/>
      <c r="E43" s="11"/>
      <c r="F43" s="2" t="str">
        <f t="shared" si="0"/>
        <v/>
      </c>
      <c r="G43" s="2" t="str">
        <f t="shared" si="1"/>
        <v/>
      </c>
      <c r="H43" s="2"/>
      <c r="I43" s="2"/>
      <c r="J43" s="12"/>
      <c r="K43" s="13"/>
      <c r="L43" s="4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9.5" customHeight="1" x14ac:dyDescent="0.2">
      <c r="A44" s="58">
        <v>38</v>
      </c>
      <c r="B44" s="42"/>
      <c r="C44" s="41"/>
      <c r="D44" s="11"/>
      <c r="E44" s="11"/>
      <c r="F44" s="2" t="str">
        <f t="shared" si="0"/>
        <v/>
      </c>
      <c r="G44" s="2" t="str">
        <f t="shared" si="1"/>
        <v/>
      </c>
      <c r="H44" s="2"/>
      <c r="I44" s="2"/>
      <c r="J44" s="12"/>
      <c r="K44" s="13"/>
      <c r="L44" s="4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9.5" customHeight="1" x14ac:dyDescent="0.2">
      <c r="A45" s="58">
        <v>39</v>
      </c>
      <c r="B45" s="42"/>
      <c r="C45" s="41"/>
      <c r="D45" s="11"/>
      <c r="E45" s="11"/>
      <c r="F45" s="2" t="str">
        <f t="shared" si="0"/>
        <v/>
      </c>
      <c r="G45" s="2" t="str">
        <f t="shared" si="1"/>
        <v/>
      </c>
      <c r="H45" s="2"/>
      <c r="I45" s="2"/>
      <c r="J45" s="12"/>
      <c r="K45" s="13"/>
      <c r="L45" s="4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customHeight="1" x14ac:dyDescent="0.2">
      <c r="A46" s="58">
        <v>40</v>
      </c>
      <c r="B46" s="43"/>
      <c r="C46" s="41"/>
      <c r="D46" s="2"/>
      <c r="E46" s="2"/>
      <c r="F46" s="2" t="str">
        <f>MID(B46,11,1)</f>
        <v/>
      </c>
      <c r="G46" s="2" t="str">
        <f t="shared" si="1"/>
        <v/>
      </c>
      <c r="H46" s="2"/>
      <c r="I46" s="2"/>
      <c r="J46" s="12"/>
      <c r="K46" s="13"/>
      <c r="L46" s="4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25"/>
      <c r="B47" s="14"/>
      <c r="C47" s="14"/>
      <c r="D47" s="31"/>
      <c r="E47" s="31"/>
      <c r="F47" s="32"/>
      <c r="G47" s="33"/>
      <c r="H47" s="33"/>
      <c r="I47" s="33"/>
      <c r="J47" s="34" t="s">
        <v>6</v>
      </c>
      <c r="K47" s="33">
        <f>COUNTIF(F7:F46, "M")</f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25"/>
      <c r="B48" s="14"/>
      <c r="C48" s="14"/>
      <c r="D48" s="31"/>
      <c r="E48" s="31"/>
      <c r="F48" s="35"/>
      <c r="G48" s="33"/>
      <c r="H48" s="33"/>
      <c r="I48" s="33"/>
      <c r="J48" s="34" t="s">
        <v>5</v>
      </c>
      <c r="K48" s="36">
        <f>COUNTIF(F7:F46,"H")</f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25"/>
      <c r="B49" s="37"/>
      <c r="C49" s="38"/>
      <c r="D49" s="31"/>
      <c r="E49" s="31"/>
      <c r="F49" s="35"/>
      <c r="G49" s="33"/>
      <c r="H49" s="33"/>
      <c r="I49" s="33"/>
      <c r="J49" s="34" t="s">
        <v>12</v>
      </c>
      <c r="K49" s="36">
        <f>SUM(K47:K48)</f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25"/>
      <c r="B50" s="38"/>
      <c r="C50" s="14"/>
      <c r="D50" s="31"/>
      <c r="E50" s="31"/>
      <c r="F50" s="35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25"/>
      <c r="B51" s="38"/>
      <c r="C51" s="39"/>
      <c r="D51" s="31"/>
      <c r="E51" s="31"/>
      <c r="F51" s="35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autoFilter ref="A6:K49" xr:uid="{00000000-0009-0000-0000-000010000000}"/>
  <conditionalFormatting sqref="F1:F1048576">
    <cfRule type="cellIs" dxfId="5" priority="1" operator="equal">
      <formula>"H"</formula>
    </cfRule>
    <cfRule type="cellIs" dxfId="4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10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63"/>
  <sheetViews>
    <sheetView zoomScale="90" zoomScaleNormal="90" workbookViewId="0">
      <selection activeCell="P13" sqref="P13"/>
    </sheetView>
  </sheetViews>
  <sheetFormatPr defaultColWidth="11.43359375" defaultRowHeight="15" x14ac:dyDescent="0.2"/>
  <cols>
    <col min="1" max="1" width="2.95703125" style="61" customWidth="1"/>
    <col min="2" max="2" width="21.5234375" style="3" customWidth="1"/>
    <col min="3" max="3" width="6.1875" style="1" customWidth="1"/>
    <col min="4" max="4" width="11.43359375" style="1" hidden="1" customWidth="1"/>
    <col min="5" max="5" width="0.1328125" style="1" hidden="1" customWidth="1"/>
    <col min="6" max="6" width="6.859375" style="1" customWidth="1"/>
    <col min="7" max="9" width="5.6484375" style="1" customWidth="1"/>
    <col min="10" max="10" width="11.8359375" style="1" bestFit="1" customWidth="1"/>
    <col min="11" max="11" width="7.93359375" style="1" customWidth="1"/>
    <col min="12" max="12" width="9.01171875" style="1" customWidth="1"/>
    <col min="13" max="13" width="11.43359375" style="1"/>
    <col min="14" max="14" width="12.64453125" style="1" bestFit="1" customWidth="1"/>
    <col min="15" max="26" width="6.58984375" style="1" customWidth="1"/>
    <col min="27" max="16384" width="11.43359375" style="1"/>
  </cols>
  <sheetData>
    <row r="1" spans="1:26" x14ac:dyDescent="0.2">
      <c r="A1" s="60"/>
      <c r="B1" s="21"/>
      <c r="D1" s="14"/>
      <c r="E1" s="14"/>
      <c r="F1" s="14"/>
      <c r="G1" s="14"/>
      <c r="H1" s="14"/>
      <c r="I1" s="14"/>
      <c r="J1" s="36" t="s">
        <v>34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60"/>
      <c r="B2" s="2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20"/>
      <c r="B3" s="21"/>
      <c r="C3" s="14"/>
      <c r="D3" s="22"/>
      <c r="E3" s="22"/>
      <c r="F3" s="23" t="s">
        <v>54</v>
      </c>
      <c r="G3" s="2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26" ht="15" customHeight="1" x14ac:dyDescent="0.2">
      <c r="A4" s="20"/>
      <c r="B4" s="21"/>
      <c r="C4" s="14"/>
      <c r="D4" s="22"/>
      <c r="E4" s="22"/>
      <c r="F4" s="23" t="s">
        <v>56</v>
      </c>
      <c r="G4" s="2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25"/>
      <c r="B5" s="26"/>
      <c r="C5" s="27" t="s">
        <v>53</v>
      </c>
      <c r="D5" s="28"/>
      <c r="E5" s="28"/>
      <c r="F5" s="29"/>
      <c r="G5" s="29" t="s">
        <v>30</v>
      </c>
      <c r="H5" s="14"/>
      <c r="I5" s="14" t="s">
        <v>29</v>
      </c>
      <c r="J5" s="30">
        <v>46266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6" ht="19.5" customHeight="1" x14ac:dyDescent="0.2">
      <c r="A7" s="14"/>
      <c r="B7" s="14" t="s">
        <v>13</v>
      </c>
      <c r="C7" s="7">
        <f>'6 A'!O7+'6 B'!O7</f>
        <v>0</v>
      </c>
      <c r="D7" s="7">
        <f>'6 A'!P7+'6 B'!P7</f>
        <v>0</v>
      </c>
      <c r="E7" s="7">
        <f>'6 A'!Q7+'6 B'!Q7</f>
        <v>0</v>
      </c>
      <c r="F7" s="7">
        <f>'6 A'!R7+'6 B'!R7</f>
        <v>0</v>
      </c>
      <c r="G7" s="7">
        <f>'6 A'!S7+'6 B'!S7</f>
        <v>0</v>
      </c>
      <c r="H7" s="7">
        <f>'6 A'!T7+'6 B'!T7</f>
        <v>0</v>
      </c>
      <c r="I7" s="7">
        <f>'6 A'!U7+'6 B'!U7</f>
        <v>0</v>
      </c>
      <c r="J7" s="7">
        <f>'6 A'!V7+'6 B'!V7</f>
        <v>0</v>
      </c>
      <c r="K7" s="7">
        <f>'6 A'!W7+'6 B'!W7</f>
        <v>0</v>
      </c>
      <c r="L7" s="7">
        <f>'6 A'!X7+'6 B'!X7</f>
        <v>0</v>
      </c>
      <c r="M7" s="7">
        <f>'6 A'!Y7+'6 B'!Y7</f>
        <v>0</v>
      </c>
      <c r="N7" s="7">
        <f>'6 A'!Z7+'6 B'!Z7</f>
        <v>0</v>
      </c>
    </row>
    <row r="8" spans="1:26" ht="19.5" customHeight="1" x14ac:dyDescent="0.2">
      <c r="A8" s="16" t="s">
        <v>5</v>
      </c>
      <c r="B8" s="14" t="s">
        <v>14</v>
      </c>
      <c r="C8" s="7">
        <f>'6 A'!O8+'6 B'!O8</f>
        <v>0</v>
      </c>
      <c r="D8" s="7">
        <f>'6 A'!P8+'6 B'!P8</f>
        <v>0</v>
      </c>
      <c r="E8" s="7">
        <f>'6 A'!Q8+'6 B'!Q8</f>
        <v>0</v>
      </c>
      <c r="F8" s="7">
        <f>'6 A'!R8+'6 B'!R8</f>
        <v>0</v>
      </c>
      <c r="G8" s="7">
        <f>'6 A'!S8+'6 B'!S8</f>
        <v>0</v>
      </c>
      <c r="H8" s="7">
        <f>'6 A'!T8+'6 B'!T8</f>
        <v>0</v>
      </c>
      <c r="I8" s="7">
        <f>'6 A'!U8+'6 B'!U8</f>
        <v>0</v>
      </c>
      <c r="J8" s="7">
        <f>'6 A'!V8+'6 B'!V8</f>
        <v>0</v>
      </c>
      <c r="K8" s="7">
        <f>'6 A'!W8+'6 B'!W8</f>
        <v>0</v>
      </c>
      <c r="L8" s="7">
        <f>'6 A'!X8+'6 B'!X8</f>
        <v>0</v>
      </c>
      <c r="M8" s="7">
        <f>'6 A'!Y8+'6 B'!Y8</f>
        <v>0</v>
      </c>
      <c r="N8" s="7">
        <f>'6 A'!Z8+'6 B'!Z8</f>
        <v>0</v>
      </c>
    </row>
    <row r="9" spans="1:26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6" ht="19.5" customHeight="1" x14ac:dyDescent="0.2">
      <c r="A10" s="14"/>
      <c r="B10" s="14" t="s">
        <v>13</v>
      </c>
      <c r="C10" s="7">
        <f>'6 A'!O10+'6 B'!O10</f>
        <v>0</v>
      </c>
      <c r="D10" s="7">
        <f>'6 A'!P10+'6 B'!P10</f>
        <v>0</v>
      </c>
      <c r="E10" s="7">
        <f>'6 A'!Q10+'6 B'!Q10</f>
        <v>0</v>
      </c>
      <c r="F10" s="7">
        <f>'6 A'!R10+'6 B'!R10</f>
        <v>0</v>
      </c>
      <c r="G10" s="7">
        <f>'6 A'!S10+'6 B'!S10</f>
        <v>0</v>
      </c>
      <c r="H10" s="7">
        <f>'6 A'!T10+'6 B'!T10</f>
        <v>0</v>
      </c>
      <c r="I10" s="7">
        <f>'6 A'!U10+'6 B'!U10</f>
        <v>0</v>
      </c>
      <c r="J10" s="7">
        <f>'6 A'!V10+'6 B'!V10</f>
        <v>0</v>
      </c>
      <c r="K10" s="7">
        <f>'6 A'!W10+'6 B'!W10</f>
        <v>0</v>
      </c>
      <c r="L10" s="7">
        <f>'6 A'!X10+'6 B'!X10</f>
        <v>0</v>
      </c>
      <c r="M10" s="7">
        <f>'6 A'!Y10+'6 B'!Y10</f>
        <v>0</v>
      </c>
      <c r="N10" s="7">
        <f>'6 A'!Z10+'6 B'!Z10</f>
        <v>0</v>
      </c>
    </row>
    <row r="11" spans="1:26" ht="19.5" customHeight="1" x14ac:dyDescent="0.2">
      <c r="A11" s="15" t="s">
        <v>6</v>
      </c>
      <c r="B11" s="14" t="s">
        <v>14</v>
      </c>
      <c r="C11" s="7">
        <f>'6 A'!O11+'6 B'!O11</f>
        <v>0</v>
      </c>
      <c r="D11" s="7">
        <f>'6 A'!P11+'6 B'!P11</f>
        <v>0</v>
      </c>
      <c r="E11" s="7">
        <f>'6 A'!Q11+'6 B'!Q11</f>
        <v>0</v>
      </c>
      <c r="F11" s="7">
        <f>'6 A'!R11+'6 B'!R11</f>
        <v>0</v>
      </c>
      <c r="G11" s="7">
        <f>'6 A'!S11+'6 B'!S11</f>
        <v>0</v>
      </c>
      <c r="H11" s="7">
        <f>'6 A'!T11+'6 B'!T11</f>
        <v>0</v>
      </c>
      <c r="I11" s="7">
        <f>'6 A'!U11+'6 B'!U11</f>
        <v>0</v>
      </c>
      <c r="J11" s="7">
        <f>'6 A'!V11+'6 B'!V11</f>
        <v>0</v>
      </c>
      <c r="K11" s="7">
        <f>'6 A'!W11+'6 B'!W11</f>
        <v>0</v>
      </c>
      <c r="L11" s="7">
        <f>'6 A'!X11+'6 B'!X11</f>
        <v>0</v>
      </c>
      <c r="M11" s="7">
        <f>'6 A'!Y11+'6 B'!Y11</f>
        <v>0</v>
      </c>
      <c r="N11" s="7">
        <f>'6 A'!Z11+'6 B'!Z11</f>
        <v>0</v>
      </c>
    </row>
    <row r="12" spans="1:26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6" ht="19.5" customHeight="1" x14ac:dyDescent="0.2">
      <c r="A13" s="14"/>
      <c r="B13" s="14" t="s">
        <v>15</v>
      </c>
      <c r="C13" s="7">
        <f>'6 A'!O13+'6 B'!O13</f>
        <v>0</v>
      </c>
      <c r="D13" s="7">
        <f>'6 A'!P13+'6 B'!P13</f>
        <v>0</v>
      </c>
      <c r="E13" s="7">
        <f>'6 A'!Q13+'6 B'!Q13</f>
        <v>0</v>
      </c>
      <c r="F13" s="7">
        <f>'6 A'!R13+'6 B'!R13</f>
        <v>0</v>
      </c>
      <c r="G13" s="7">
        <f>'6 A'!S13+'6 B'!S13</f>
        <v>0</v>
      </c>
      <c r="H13" s="7">
        <f>'6 A'!T13+'6 B'!T13</f>
        <v>0</v>
      </c>
      <c r="I13" s="7">
        <f>'6 A'!U13+'6 B'!U13</f>
        <v>0</v>
      </c>
      <c r="J13" s="7">
        <f>'6 A'!V13+'6 B'!V13</f>
        <v>0</v>
      </c>
      <c r="K13" s="7">
        <f>'6 A'!W13+'6 B'!W13</f>
        <v>0</v>
      </c>
      <c r="L13" s="7">
        <f>'6 A'!X13+'6 B'!X13</f>
        <v>0</v>
      </c>
      <c r="M13" s="7">
        <f>'6 A'!Y13+'6 B'!Y13</f>
        <v>0</v>
      </c>
      <c r="N13" s="7">
        <f>'6 A'!Z13+'6 B'!Z13</f>
        <v>0</v>
      </c>
    </row>
    <row r="14" spans="1:26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6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6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26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26" ht="15.75" customHeight="1" x14ac:dyDescent="0.2">
      <c r="A52" s="25"/>
      <c r="B52" s="39"/>
      <c r="C52" s="31"/>
      <c r="D52" s="31"/>
      <c r="E52" s="31"/>
      <c r="F52" s="35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60"/>
      <c r="B53" s="21"/>
      <c r="C53" s="14"/>
      <c r="D53" s="14"/>
      <c r="E53" s="14"/>
      <c r="F53" s="31"/>
      <c r="G53" s="31"/>
      <c r="H53" s="31"/>
      <c r="I53" s="3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60"/>
      <c r="B54" s="2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60"/>
      <c r="B55" s="2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60"/>
      <c r="B56" s="2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60"/>
      <c r="B57" s="21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60"/>
      <c r="B58" s="21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60"/>
      <c r="B59" s="21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60"/>
      <c r="B60" s="2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60"/>
      <c r="B61" s="21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60"/>
      <c r="B62" s="21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60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</sheetData>
  <conditionalFormatting sqref="F1:F1048576">
    <cfRule type="cellIs" dxfId="3" priority="1" operator="equal">
      <formula>"H"</formula>
    </cfRule>
    <cfRule type="cellIs" dxfId="2" priority="2" operator="equal">
      <formula>"M"</formula>
    </cfRule>
  </conditionalFormatting>
  <dataValidations count="1">
    <dataValidation allowBlank="1" showInputMessage="1" showErrorMessage="1" promptTitle="FECHA DE CÁLCULO" prompt="ESCRIBIR LA FECHA HASTA LA QUE SE DESEA CALCULAR EDAD." sqref="J5" xr:uid="{00000000-0002-0000-1100-000000000000}"/>
  </dataValidations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2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Y63"/>
  <sheetViews>
    <sheetView zoomScale="90" zoomScaleNormal="90" workbookViewId="0">
      <selection activeCell="T10" sqref="T10"/>
    </sheetView>
  </sheetViews>
  <sheetFormatPr defaultColWidth="11.43359375" defaultRowHeight="15" x14ac:dyDescent="0.2"/>
  <cols>
    <col min="1" max="1" width="14.9296875" style="3" customWidth="1"/>
    <col min="2" max="2" width="14.2578125" style="1" customWidth="1"/>
    <col min="3" max="5" width="8.7421875" style="1" customWidth="1"/>
    <col min="6" max="8" width="5.6484375" style="1" customWidth="1"/>
    <col min="9" max="9" width="11.8359375" style="1" bestFit="1" customWidth="1"/>
    <col min="10" max="10" width="7.93359375" style="1" customWidth="1"/>
    <col min="11" max="11" width="9.01171875" style="1" customWidth="1"/>
    <col min="12" max="12" width="11.43359375" style="1"/>
    <col min="13" max="13" width="12.64453125" style="1" bestFit="1" customWidth="1"/>
    <col min="14" max="25" width="6.58984375" style="1" customWidth="1"/>
    <col min="26" max="16384" width="11.43359375" style="1"/>
  </cols>
  <sheetData>
    <row r="1" spans="1:25" x14ac:dyDescent="0.2">
      <c r="A1" s="21"/>
      <c r="C1" s="14"/>
      <c r="D1" s="14"/>
      <c r="E1" s="14"/>
      <c r="F1" s="14"/>
      <c r="G1" s="14"/>
      <c r="H1" s="14"/>
      <c r="I1" s="36" t="s">
        <v>44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">
      <c r="A2" s="2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6.5" customHeight="1" x14ac:dyDescent="0.2">
      <c r="A3" s="21"/>
      <c r="B3" s="14"/>
      <c r="C3" s="22"/>
      <c r="D3" s="22"/>
      <c r="E3" s="23" t="s">
        <v>54</v>
      </c>
      <c r="F3" s="2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25" ht="15" customHeight="1" x14ac:dyDescent="0.2">
      <c r="A4" s="21"/>
      <c r="B4" s="14"/>
      <c r="C4" s="22"/>
      <c r="D4" s="22"/>
      <c r="E4" s="23" t="s">
        <v>56</v>
      </c>
      <c r="F4" s="2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4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25" ht="15" customHeight="1" x14ac:dyDescent="0.2">
      <c r="A6" s="14"/>
      <c r="B6" s="14"/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  <c r="L6" s="17" t="s">
        <v>25</v>
      </c>
      <c r="M6" s="17" t="s">
        <v>26</v>
      </c>
      <c r="N6" s="18" t="s">
        <v>12</v>
      </c>
    </row>
    <row r="7" spans="1:25" ht="19.5" customHeight="1" x14ac:dyDescent="0.2">
      <c r="A7" s="14"/>
      <c r="B7" s="14" t="s">
        <v>13</v>
      </c>
      <c r="C7" s="46">
        <f>SUM('1 A'!O7,'1 B'!O7,'2 A'!O7,'2 B'!O7,'3 A '!O7,'3 B'!O7,'4 A'!O7,'4 B'!O7,'5 A'!O7,'5 B'!O7,'6 A'!O7,'6 B'!O7)</f>
        <v>0</v>
      </c>
      <c r="D7" s="46">
        <f>SUM('1 A'!P7,'1 B'!P7,'2 A'!P7,'2 B'!P7,'3 A '!P7,'3 B'!P7,'4 A'!P7,'4 B'!P7,'5 A'!P7,'5 B'!P7,'6 A'!P7,'6 B'!P7)</f>
        <v>0</v>
      </c>
      <c r="E7" s="46">
        <f>SUM('1 A'!Q7,'1 B'!Q7,'2 A'!Q7,'2 B'!Q7,'3 A '!Q7,'3 B'!Q7,'4 A'!Q7,'4 B'!Q7,'5 A'!Q7,'5 B'!Q7,'6 A'!Q7,'6 B'!Q7)</f>
        <v>0</v>
      </c>
      <c r="F7" s="46">
        <f>SUM('1 A'!R7,'1 B'!R7,'2 A'!R7,'2 B'!R7,'3 A '!R7,'3 B'!R7,'4 A'!R7,'4 B'!R7,'5 A'!R7,'5 B'!R7,'6 A'!R7,'6 B'!R7)</f>
        <v>0</v>
      </c>
      <c r="G7" s="46">
        <f>SUM('1 A'!S7,'1 B'!S7,'2 A'!S7,'2 B'!S7,'3 A '!S7,'3 B'!S7,'4 A'!S7,'4 B'!S7,'5 A'!S7,'5 B'!S7,'6 A'!S7,'6 B'!S7)</f>
        <v>0</v>
      </c>
      <c r="H7" s="46">
        <f>SUM('1 A'!T7,'1 B'!T7,'2 A'!T7,'2 B'!T7,'3 A '!T7,'3 B'!T7,'4 A'!T7,'4 B'!T7,'5 A'!T7,'5 B'!T7,'6 A'!T7,'6 B'!T7)</f>
        <v>0</v>
      </c>
      <c r="I7" s="46">
        <f>SUM('1 A'!U7,'1 B'!U7,'2 A'!U7,'2 B'!U7,'3 A '!U7,'3 B'!U7,'4 A'!U7,'4 B'!U7,'5 A'!U7,'5 B'!U7,'6 A'!U7,'6 B'!U7)</f>
        <v>0</v>
      </c>
      <c r="J7" s="46">
        <f>SUM('1 A'!V7,'1 B'!V7,'2 A'!V7,'2 B'!V7,'3 A '!V7,'3 B'!V7,'4 A'!V7,'4 B'!V7,'5 A'!V7,'5 B'!V7,'6 A'!V7,'6 B'!V7)</f>
        <v>0</v>
      </c>
      <c r="K7" s="46">
        <f>SUM('1 A'!W7,'1 B'!W7,'2 A'!W7,'2 B'!W7,'3 A '!W7,'3 B'!W7,'4 A'!W7,'4 B'!W7,'5 A'!W7,'5 B'!W7,'6 A'!W7,'6 B'!W7)</f>
        <v>0</v>
      </c>
      <c r="L7" s="46">
        <f>SUM('1 A'!X7,'1 B'!X7,'2 A'!X7,'2 B'!X7,'3 A '!X7,'3 B'!X7,'4 A'!X7,'4 B'!X7,'5 A'!X7,'5 B'!X7,'6 A'!X7,'6 B'!X7)</f>
        <v>0</v>
      </c>
      <c r="M7" s="46">
        <f>SUM('1 A'!Y7,'1 B'!Y7,'2 A'!Y7,'2 B'!Y7,'3 A '!Y7,'3 B'!Y7,'4 A'!Y7,'4 B'!Y7,'5 A'!Y7,'5 B'!Y7,'6 A'!Y7,'6 B'!Y7)</f>
        <v>0</v>
      </c>
      <c r="N7" s="46">
        <f>SUM('1 A'!Z7,'1 B'!Z7,'2 A'!Z7,'2 B'!Z7,'3 A '!Z7,'3 B'!Z7,'4 A'!Z7,'4 B'!Z7,'5 A'!Z7,'5 B'!Z7,'6 A'!Z7,'6 B'!Z7)</f>
        <v>0</v>
      </c>
    </row>
    <row r="8" spans="1:25" ht="19.5" customHeight="1" x14ac:dyDescent="0.2">
      <c r="A8" s="16" t="s">
        <v>5</v>
      </c>
      <c r="B8" s="14" t="s">
        <v>14</v>
      </c>
      <c r="C8" s="46">
        <f>SUM('1 A'!O8,'1 B'!O8,'2 A'!O8,'2 B'!O8,'3 A '!O8,'3 B'!O8,'4 A'!O8,'4 B'!O8,'5 A'!O8,'5 B'!O8,'6 A'!O8,'6 B'!O8)</f>
        <v>0</v>
      </c>
      <c r="D8" s="46">
        <f>SUM('1 A'!P8,'1 B'!P8,'2 A'!P8,'2 B'!P8,'3 A '!P8,'3 B'!P8,'4 A'!P8,'4 B'!P8,'5 A'!P8,'5 B'!P8,'6 A'!P8,'6 B'!P8)</f>
        <v>0</v>
      </c>
      <c r="E8" s="46">
        <f>SUM('1 A'!Q8,'1 B'!Q8,'2 A'!Q8,'2 B'!Q8,'3 A '!Q8,'3 B'!Q8,'4 A'!Q8,'4 B'!Q8,'5 A'!Q8,'5 B'!Q8,'6 A'!Q8,'6 B'!Q8)</f>
        <v>0</v>
      </c>
      <c r="F8" s="46">
        <f>SUM('1 A'!R8,'1 B'!R8,'2 A'!R8,'2 B'!R8,'3 A '!R8,'3 B'!R8,'4 A'!R8,'4 B'!R8,'5 A'!R8,'5 B'!R8,'6 A'!R8,'6 B'!R8)</f>
        <v>0</v>
      </c>
      <c r="G8" s="46">
        <f>SUM('1 A'!S8,'1 B'!S8,'2 A'!S8,'2 B'!S8,'3 A '!S8,'3 B'!S8,'4 A'!S8,'4 B'!S8,'5 A'!S8,'5 B'!S8,'6 A'!S8,'6 B'!S8)</f>
        <v>0</v>
      </c>
      <c r="H8" s="46">
        <f>SUM('1 A'!T8,'1 B'!T8,'2 A'!T8,'2 B'!T8,'3 A '!T8,'3 B'!T8,'4 A'!T8,'4 B'!T8,'5 A'!T8,'5 B'!T8,'6 A'!T8,'6 B'!T8)</f>
        <v>0</v>
      </c>
      <c r="I8" s="46">
        <f>SUM('1 A'!U8,'1 B'!U8,'2 A'!U8,'2 B'!U8,'3 A '!U8,'3 B'!U8,'4 A'!U8,'4 B'!U8,'5 A'!U8,'5 B'!U8,'6 A'!U8,'6 B'!U8)</f>
        <v>0</v>
      </c>
      <c r="J8" s="46">
        <f>SUM('1 A'!V8,'1 B'!V8,'2 A'!V8,'2 B'!V8,'3 A '!V8,'3 B'!V8,'4 A'!V8,'4 B'!V8,'5 A'!V8,'5 B'!V8,'6 A'!V8,'6 B'!V8)</f>
        <v>0</v>
      </c>
      <c r="K8" s="46">
        <f>SUM('1 A'!W8,'1 B'!W8,'2 A'!W8,'2 B'!W8,'3 A '!W8,'3 B'!W8,'4 A'!W8,'4 B'!W8,'5 A'!W8,'5 B'!W8,'6 A'!W8,'6 B'!W8)</f>
        <v>0</v>
      </c>
      <c r="L8" s="46">
        <f>SUM('1 A'!X8,'1 B'!X8,'2 A'!X8,'2 B'!X8,'3 A '!X8,'3 B'!X8,'4 A'!X8,'4 B'!X8,'5 A'!X8,'5 B'!X8,'6 A'!X8,'6 B'!X8)</f>
        <v>0</v>
      </c>
      <c r="M8" s="46">
        <f>SUM('1 A'!Y8,'1 B'!Y8,'2 A'!Y8,'2 B'!Y8,'3 A '!Y8,'3 B'!Y8,'4 A'!Y8,'4 B'!Y8,'5 A'!Y8,'5 B'!Y8,'6 A'!Y8,'6 B'!Y8)</f>
        <v>0</v>
      </c>
      <c r="N8" s="46">
        <f>SUM('1 A'!Z8,'1 B'!Z8,'2 A'!Z8,'2 B'!Z8,'3 A '!Z8,'3 B'!Z8,'4 A'!Z8,'4 B'!Z8,'5 A'!Z8,'5 B'!Z8,'6 A'!Z8,'6 B'!Z8)</f>
        <v>0</v>
      </c>
    </row>
    <row r="9" spans="1:25" ht="19.5" customHeight="1" x14ac:dyDescent="0.2">
      <c r="A9" s="14"/>
      <c r="B9" s="14"/>
      <c r="C9" s="17" t="s">
        <v>16</v>
      </c>
      <c r="D9" s="17" t="s">
        <v>17</v>
      </c>
      <c r="E9" s="17" t="s">
        <v>18</v>
      </c>
      <c r="F9" s="17" t="s">
        <v>19</v>
      </c>
      <c r="G9" s="17" t="s">
        <v>20</v>
      </c>
      <c r="H9" s="17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8" t="s">
        <v>12</v>
      </c>
    </row>
    <row r="10" spans="1:25" ht="19.5" customHeight="1" x14ac:dyDescent="0.2">
      <c r="A10" s="14"/>
      <c r="B10" s="14" t="s">
        <v>13</v>
      </c>
      <c r="C10" s="46">
        <f>SUM('1 A'!O10,'1 B'!O10,'2 A'!O10,'2 B'!O10,'3 A '!O10,'3 B'!O10,'4 A'!O10,'4 B'!O10,'5 A'!O10,'5 B'!O10,'6 A'!O10,'6 B'!O10)</f>
        <v>0</v>
      </c>
      <c r="D10" s="46">
        <f>SUM('1 A'!P10,'1 B'!P10,'2 A'!P10,'2 B'!P10,'3 A '!P10,'3 B'!P10,'4 A'!P10,'4 B'!P10,'5 A'!P10,'5 B'!P10,'6 A'!P10,'6 B'!P10)</f>
        <v>0</v>
      </c>
      <c r="E10" s="46">
        <f>SUM('1 A'!Q10,'1 B'!Q10,'2 A'!Q10,'2 B'!Q10,'3 A '!Q10,'3 B'!Q10,'4 A'!Q10,'4 B'!Q10,'5 A'!Q10,'5 B'!Q10,'6 A'!Q10,'6 B'!Q10)</f>
        <v>0</v>
      </c>
      <c r="F10" s="46">
        <f>SUM('1 A'!R10,'1 B'!R10,'2 A'!R10,'2 B'!R10,'3 A '!R10,'3 B'!R10,'4 A'!R10,'4 B'!R10,'5 A'!R10,'5 B'!R10,'6 A'!R10,'6 B'!R10)</f>
        <v>0</v>
      </c>
      <c r="G10" s="46">
        <f>SUM('1 A'!S10,'1 B'!S10,'2 A'!S10,'2 B'!S10,'3 A '!S10,'3 B'!S10,'4 A'!S10,'4 B'!S10,'5 A'!S10,'5 B'!S10,'6 A'!S10,'6 B'!S10)</f>
        <v>0</v>
      </c>
      <c r="H10" s="46">
        <f>SUM('1 A'!T10,'1 B'!T10,'2 A'!T10,'2 B'!T10,'3 A '!T10,'3 B'!T10,'4 A'!T10,'4 B'!T10,'5 A'!T10,'5 B'!T10,'6 A'!T10,'6 B'!T10)</f>
        <v>0</v>
      </c>
      <c r="I10" s="46">
        <f>SUM('1 A'!U10,'1 B'!U10,'2 A'!U10,'2 B'!U10,'3 A '!U10,'3 B'!U10,'4 A'!U10,'4 B'!U10,'5 A'!U10,'5 B'!U10,'6 A'!U10,'6 B'!U10)</f>
        <v>0</v>
      </c>
      <c r="J10" s="46">
        <f>SUM('1 A'!V10,'1 B'!V10,'2 A'!V10,'2 B'!V10,'3 A '!V10,'3 B'!V10,'4 A'!V10,'4 B'!V10,'5 A'!V10,'5 B'!V10,'6 A'!V10,'6 B'!V10)</f>
        <v>0</v>
      </c>
      <c r="K10" s="46">
        <f>SUM('1 A'!W10,'1 B'!W10,'2 A'!W10,'2 B'!W10,'3 A '!W10,'3 B'!W10,'4 A'!W10,'4 B'!W10,'5 A'!W10,'5 B'!W10,'6 A'!W10,'6 B'!W10)</f>
        <v>0</v>
      </c>
      <c r="L10" s="46">
        <f>SUM('1 A'!X10,'1 B'!X10,'2 A'!X10,'2 B'!X10,'3 A '!X10,'3 B'!X10,'4 A'!X10,'4 B'!X10,'5 A'!X10,'5 B'!X10,'6 A'!X10,'6 B'!X10)</f>
        <v>0</v>
      </c>
      <c r="M10" s="46">
        <f>SUM('1 A'!Y10,'1 B'!Y10,'2 A'!Y10,'2 B'!Y10,'3 A '!Y10,'3 B'!Y10,'4 A'!Y10,'4 B'!Y10,'5 A'!Y10,'5 B'!Y10,'6 A'!Y10,'6 B'!Y10)</f>
        <v>0</v>
      </c>
      <c r="N10" s="46">
        <f>SUM('1 A'!Z10,'1 B'!Z10,'2 A'!Z10,'2 B'!Z10,'3 A '!Z10,'3 B'!Z10,'4 A'!Z10,'4 B'!Z10,'5 A'!Z10,'5 B'!Z10,'6 A'!Z10,'6 B'!Z10)</f>
        <v>0</v>
      </c>
    </row>
    <row r="11" spans="1:25" ht="19.5" customHeight="1" x14ac:dyDescent="0.2">
      <c r="A11" s="15" t="s">
        <v>6</v>
      </c>
      <c r="B11" s="14" t="s">
        <v>14</v>
      </c>
      <c r="C11" s="46">
        <f>SUM('1 A'!O11,'2 A'!O11,'3 A '!O11,'4 A'!O11,'5 A'!O11,'6 A'!O11)</f>
        <v>0</v>
      </c>
      <c r="D11" s="46">
        <f>SUM('1 A'!P11,'2 A'!P11,'3 A '!P11,'4 A'!P11,'5 A'!P11,'6 A'!P11)</f>
        <v>0</v>
      </c>
      <c r="E11" s="46">
        <f>SUM('1 A'!Q11,'2 A'!Q11,'3 A '!Q11,'4 A'!Q11,'5 A'!Q11,'6 A'!Q11)</f>
        <v>0</v>
      </c>
      <c r="F11" s="46">
        <f>SUM('1 A'!R11,'2 A'!R11,'3 A '!R11,'4 A'!R11,'5 A'!R11,'6 A'!R11)</f>
        <v>0</v>
      </c>
      <c r="G11" s="46">
        <f>SUM('1 A'!S11,'2 A'!S11,'3 A '!S11,'4 A'!S11,'5 A'!S11,'6 A'!S11)</f>
        <v>0</v>
      </c>
      <c r="H11" s="46">
        <f>SUM('1 A'!T11,'2 A'!T11,'3 A '!T11,'4 A'!T11,'5 A'!T11,'6 A'!T11)</f>
        <v>0</v>
      </c>
      <c r="I11" s="46">
        <f>SUM('1 A'!U11,'2 A'!U11,'3 A '!U11,'4 A'!U11,'5 A'!U11,'6 A'!U11)</f>
        <v>0</v>
      </c>
      <c r="J11" s="46">
        <f>SUM('1 A'!V11,'2 A'!V11,'3 A '!V11,'4 A'!V11,'5 A'!V11,'6 A'!V11)</f>
        <v>0</v>
      </c>
      <c r="K11" s="46">
        <f>SUM('1 A'!W11,'2 A'!W11,'3 A '!W11,'4 A'!W11,'5 A'!W11,'6 A'!W11)</f>
        <v>0</v>
      </c>
      <c r="L11" s="46">
        <f>SUM('1 A'!X11,'2 A'!X11,'3 A '!X11,'4 A'!X11,'5 A'!X11,'6 A'!X11)</f>
        <v>0</v>
      </c>
      <c r="M11" s="46">
        <f>SUM('1 A'!Y11,'2 A'!Y11,'3 A '!Y11,'4 A'!Y11,'5 A'!Y11,'6 A'!Y11)</f>
        <v>0</v>
      </c>
      <c r="N11" s="46">
        <f>SUM('1 A'!Z11,'1 B'!Z11,'2 A'!Z11,'2 B'!Z11,'3 A '!Z11,'3 B'!Z11,'4 A'!Z11,'4 B'!Z11,'5 A'!Z11,'5 B'!Z11,'6 A'!Z11,'6 B'!Z11)</f>
        <v>0</v>
      </c>
    </row>
    <row r="12" spans="1:25" ht="19.5" customHeight="1" x14ac:dyDescent="0.2">
      <c r="A12" s="14"/>
      <c r="B12" s="1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5" ht="19.5" customHeight="1" x14ac:dyDescent="0.2">
      <c r="A13" s="14"/>
      <c r="B13" s="14" t="s">
        <v>15</v>
      </c>
      <c r="C13" s="6">
        <f>SUM(C7:C11)</f>
        <v>0</v>
      </c>
      <c r="D13" s="6">
        <f t="shared" ref="D13:M13" si="0">SUM(D7:D11)</f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  <c r="H13" s="6">
        <f t="shared" si="0"/>
        <v>0</v>
      </c>
      <c r="I13" s="6">
        <f t="shared" si="0"/>
        <v>0</v>
      </c>
      <c r="J13" s="6">
        <f t="shared" si="0"/>
        <v>0</v>
      </c>
      <c r="K13" s="6">
        <f t="shared" si="0"/>
        <v>0</v>
      </c>
      <c r="L13" s="6">
        <f t="shared" si="0"/>
        <v>0</v>
      </c>
      <c r="M13" s="6">
        <f t="shared" si="0"/>
        <v>0</v>
      </c>
      <c r="N13" s="7">
        <f>SUM(C13:M13)</f>
        <v>0</v>
      </c>
    </row>
    <row r="14" spans="1:25" ht="19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5" ht="19.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5" ht="19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9.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9.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9.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9.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9.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9.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9.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9.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9.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9.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9.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9.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9.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9.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9.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9.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9.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9.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9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9.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9.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9.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9.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9.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25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25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25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25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25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25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25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25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25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25" x14ac:dyDescent="0.2">
      <c r="A58" s="2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x14ac:dyDescent="0.2">
      <c r="A59" s="2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x14ac:dyDescent="0.2">
      <c r="A60" s="2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x14ac:dyDescent="0.2">
      <c r="A61" s="2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x14ac:dyDescent="0.2">
      <c r="A62" s="2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x14ac:dyDescent="0.2">
      <c r="A63" s="2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</sheetData>
  <autoFilter ref="A6:J49" xr:uid="{00000000-0009-0000-0000-000012000000}"/>
  <conditionalFormatting sqref="E1:E6 E9 E11:E1048576">
    <cfRule type="cellIs" dxfId="1" priority="1" operator="equal">
      <formula>"H"</formula>
    </cfRule>
    <cfRule type="cellIs" dxfId="0" priority="2" operator="equal">
      <formula>"M"</formula>
    </cfRule>
  </conditionalFormatting>
  <printOptions horizontalCentered="1" verticalCentered="1"/>
  <pageMargins left="0.27559055118110237" right="0.70866141732283472" top="0.31496062992125984" bottom="0.19685039370078741" header="0.31496062992125984" footer="0.19685039370078741"/>
  <pageSetup scale="89" fitToWidth="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 A</vt:lpstr>
      <vt:lpstr>1 B</vt:lpstr>
      <vt:lpstr>Concen 1ro</vt:lpstr>
      <vt:lpstr>2 A</vt:lpstr>
      <vt:lpstr>2 B</vt:lpstr>
      <vt:lpstr>Concen 2do.</vt:lpstr>
      <vt:lpstr>3 A </vt:lpstr>
      <vt:lpstr>3 B</vt:lpstr>
      <vt:lpstr>Concen 3ro.</vt:lpstr>
      <vt:lpstr>4 A</vt:lpstr>
      <vt:lpstr>4 B</vt:lpstr>
      <vt:lpstr>Concen 4to.</vt:lpstr>
      <vt:lpstr>5 A</vt:lpstr>
      <vt:lpstr>5 B</vt:lpstr>
      <vt:lpstr>Concen 5to.</vt:lpstr>
      <vt:lpstr>6 A</vt:lpstr>
      <vt:lpstr>6 B</vt:lpstr>
      <vt:lpstr>Concen 6to</vt:lpstr>
      <vt:lpstr>Concentrado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GIL;Carlos Gabriel Ortega Gutiérrez</dc:creator>
  <cp:lastModifiedBy>Carlos Gabriel Ortega Gutiérrez</cp:lastModifiedBy>
  <cp:lastPrinted>2015-10-23T06:21:06Z</cp:lastPrinted>
  <dcterms:created xsi:type="dcterms:W3CDTF">2009-01-26T14:54:42Z</dcterms:created>
  <dcterms:modified xsi:type="dcterms:W3CDTF">2026-09-10T20:37:18Z</dcterms:modified>
</cp:coreProperties>
</file>